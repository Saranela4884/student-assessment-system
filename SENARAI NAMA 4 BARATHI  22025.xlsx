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4B" sheetId="1" r:id="rId5"/>
    <sheet state="visible" name="CATATAN INF 21 OGO" sheetId="2" r:id="rId6"/>
    <sheet state="visible" name="KELAS MADANI KALV" sheetId="3" r:id="rId7"/>
    <sheet state="hidden" name="Copy of 4B" sheetId="4" r:id="rId8"/>
    <sheet state="hidden" name="YURAN BUKU" sheetId="5" r:id="rId9"/>
    <sheet state="hidden" name="RESIT" sheetId="6" r:id="rId10"/>
    <sheet state="hidden" name="NILAM 4B" sheetId="7" r:id="rId11"/>
  </sheets>
  <definedNames/>
  <calcPr/>
</workbook>
</file>

<file path=xl/sharedStrings.xml><?xml version="1.0" encoding="utf-8"?>
<sst xmlns="http://schemas.openxmlformats.org/spreadsheetml/2006/main" count="864" uniqueCount="263">
  <si>
    <t>SEKOLAH JENIS KEBANGSAAN TAMIL SEPANG</t>
  </si>
  <si>
    <t>PERKHEMAHAN TAHUN 4</t>
  </si>
  <si>
    <t xml:space="preserve"> PEMBAYARAN BAJU SEKANTAHUN 4</t>
  </si>
  <si>
    <t>SESI AKADEMIK 2026</t>
  </si>
  <si>
    <t>KALVI MADANI (TAHUN4,5 DAN 6)</t>
  </si>
  <si>
    <t>https://datastudio.google.com/u/0/reporting/7bca543e-66c2-4751-b9e1-912467fef4be/page/kitLF</t>
  </si>
  <si>
    <t>BIL</t>
  </si>
  <si>
    <t>NAMA MURU</t>
  </si>
  <si>
    <t>NO K/P</t>
  </si>
  <si>
    <t>JANTINA</t>
  </si>
  <si>
    <t>CATATAN</t>
  </si>
  <si>
    <t>-</t>
  </si>
  <si>
    <t>SALINAN BC</t>
  </si>
  <si>
    <t>NO TEL BAPA</t>
  </si>
  <si>
    <r>
      <rPr>
        <rFont val="Arial"/>
        <b/>
        <color rgb="FF000000"/>
        <sz val="9.0"/>
      </rPr>
      <t>NO.TEL</t>
    </r>
    <r>
      <rPr>
        <rFont val="Arial"/>
        <b/>
        <color theme="1"/>
        <sz val="9.0"/>
      </rPr>
      <t xml:space="preserve"> IBU</t>
    </r>
  </si>
  <si>
    <t>TAHUN</t>
  </si>
  <si>
    <r>
      <rPr>
        <rFont val="Arial"/>
        <color rgb="FF000000"/>
      </rPr>
      <t>NO.TEL</t>
    </r>
    <r>
      <rPr>
        <rFont val="Arial"/>
        <color theme="1"/>
      </rPr>
      <t xml:space="preserve"> IBU</t>
    </r>
  </si>
  <si>
    <t>INFLIZA A 19-21 OGOS</t>
  </si>
  <si>
    <t>INFLIZA A 19-21</t>
  </si>
  <si>
    <t>KEHADIRAN 21/OGOG</t>
  </si>
  <si>
    <t>ANSHIKKA A/P GANISEN</t>
  </si>
  <si>
    <t>P</t>
  </si>
  <si>
    <r>
      <rPr>
        <rFont val="Arial"/>
        <b/>
        <color rgb="FF000000"/>
        <sz val="8.0"/>
      </rPr>
      <t>NO.TEL</t>
    </r>
    <r>
      <rPr>
        <rFont val="Arial"/>
        <b/>
        <color theme="1"/>
        <sz val="8.0"/>
      </rPr>
      <t xml:space="preserve"> IBU</t>
    </r>
  </si>
  <si>
    <t>BORANG SETUJU TERIMA</t>
  </si>
  <si>
    <t>BC ANSHIKAA.pdf</t>
  </si>
  <si>
    <t>SAIZ BAJU</t>
  </si>
  <si>
    <t>AVIENASH A/L SIVA</t>
  </si>
  <si>
    <t>4B</t>
  </si>
  <si>
    <t>BASHWIN A/L SARAWANAN</t>
  </si>
  <si>
    <t>L</t>
  </si>
  <si>
    <t>BASHWINI A/P SARAWANAN</t>
  </si>
  <si>
    <t>HASINI A/P RAM</t>
  </si>
  <si>
    <t>HEERTHANA A/P SANTHAKUMARAN</t>
  </si>
  <si>
    <t>2 HELAI</t>
  </si>
  <si>
    <t>01136372472</t>
  </si>
  <si>
    <t>JIVISHNA A/P BASKARAN</t>
  </si>
  <si>
    <t>BC AVIENASH.pdf</t>
  </si>
  <si>
    <t>KAVINES A/L JAGATHESWARAN</t>
  </si>
  <si>
    <t>KAVIYA A/P ANBALAGAN</t>
  </si>
  <si>
    <t>KESHVINRAJ A/L SARAVANAN</t>
  </si>
  <si>
    <t>KIRTHIKAA A/P THANAGU</t>
  </si>
  <si>
    <t>BC HASINI.pdf</t>
  </si>
  <si>
    <t>0133122363</t>
  </si>
  <si>
    <t>KITHAAN A/L NAVANETHAN</t>
  </si>
  <si>
    <t>0145351738</t>
  </si>
  <si>
    <t>KUHANESHH A/L DILIP</t>
  </si>
  <si>
    <t>MILASHINI A/P SARAVANAN</t>
  </si>
  <si>
    <t>MISHALAN A/L KARTIK</t>
  </si>
  <si>
    <t>BC BASHWIN.pdf</t>
  </si>
  <si>
    <t>NATCHATIRAA A/P CHANDRARUBAN</t>
  </si>
  <si>
    <t>0136897155</t>
  </si>
  <si>
    <t>S</t>
  </si>
  <si>
    <t>NEVAASHAN IMMANUEL A/L VEGENESVARAN</t>
  </si>
  <si>
    <t>PRITHIKA A/P NAGADEVAN</t>
  </si>
  <si>
    <t>PRITHISH A/L SURENDARAN</t>
  </si>
  <si>
    <t>SHIVANYAA A/P SUHANTHIRAN</t>
  </si>
  <si>
    <t>BC KITHAN.pdf</t>
  </si>
  <si>
    <t>THEVAMITTRAN A/L PARAMAGURU</t>
  </si>
  <si>
    <t>THURAI A/L THANGARAJU</t>
  </si>
  <si>
    <t>BC BASHWINI.pdf</t>
  </si>
  <si>
    <t>YAASHIKA A/P EVARAJA</t>
  </si>
  <si>
    <t>YOGATARSHAN A/L KARTIK</t>
  </si>
  <si>
    <t>01116017662</t>
  </si>
  <si>
    <t>/</t>
  </si>
  <si>
    <t>BC NEVAASHAN.pdf</t>
  </si>
  <si>
    <t>0128740211</t>
  </si>
  <si>
    <t>BC HEERTHANA</t>
  </si>
  <si>
    <t>BC PRITHISH.pdf</t>
  </si>
  <si>
    <t>BC JIVISHNA.pdf</t>
  </si>
  <si>
    <t>0122484923</t>
  </si>
  <si>
    <t>XL</t>
  </si>
  <si>
    <t>BC KAVINES.pdf</t>
  </si>
  <si>
    <t>BC THURAI.pdf</t>
  </si>
  <si>
    <t>JUMLAH MURID LELAKI</t>
  </si>
  <si>
    <t>BC KAVIYA.pdf</t>
  </si>
  <si>
    <t>01164854585</t>
  </si>
  <si>
    <t>JUMLAH MURID PEREMPUAN</t>
  </si>
  <si>
    <t>BC  YAASHIKA.pdf</t>
  </si>
  <si>
    <t>BC KESVINRAJ.pdf</t>
  </si>
  <si>
    <t>01174998583</t>
  </si>
  <si>
    <t>BC KIRTHIKA.pdf</t>
  </si>
  <si>
    <t>BC YOGATHARSAN.pdf</t>
  </si>
  <si>
    <t>0132703660</t>
  </si>
  <si>
    <t>M</t>
  </si>
  <si>
    <t>BC KUHANESHH.pdf</t>
  </si>
  <si>
    <t>KHELVIN A/L NASEN</t>
  </si>
  <si>
    <t>6B</t>
  </si>
  <si>
    <t>0162521030</t>
  </si>
  <si>
    <t>BC MILASHINI.pdf</t>
  </si>
  <si>
    <t>MENAGA A/P SANJAY KUMAR</t>
  </si>
  <si>
    <t>BC MISHALAN.pdf</t>
  </si>
  <si>
    <t>KISHAAN A/L GANESAN</t>
  </si>
  <si>
    <t>5B</t>
  </si>
  <si>
    <t>01126163698</t>
  </si>
  <si>
    <t>BC NATCHITRAA.pdf</t>
  </si>
  <si>
    <t>DARVIN A/L NAGADEVAN</t>
  </si>
  <si>
    <t>RITISH GAUNDER A/L VELAN</t>
  </si>
  <si>
    <t>01111650079</t>
  </si>
  <si>
    <t>THARVIN A/L TASAN</t>
  </si>
  <si>
    <t>.</t>
  </si>
  <si>
    <t>0123727014</t>
  </si>
  <si>
    <t>KAVILASINI A/P KUMARAN</t>
  </si>
  <si>
    <t>0163537857</t>
  </si>
  <si>
    <t>2XL</t>
  </si>
  <si>
    <t>SUGASINI A/P K SUTHAGAR</t>
  </si>
  <si>
    <t>0126202781</t>
  </si>
  <si>
    <t>BC PRITIKA.pdf</t>
  </si>
  <si>
    <t>SANJANA A/P CHANDRAN</t>
  </si>
  <si>
    <t>0102026647</t>
  </si>
  <si>
    <t>ROSHNI A/P ARJUNAN</t>
  </si>
  <si>
    <t>0143130725</t>
  </si>
  <si>
    <t>MONISHAN A/L SARAWANAN</t>
  </si>
  <si>
    <t>0164853505</t>
  </si>
  <si>
    <t>KOGULAN A/L SARAVANAN</t>
  </si>
  <si>
    <t>0123795598</t>
  </si>
  <si>
    <t>BC SHIVANYAA.pdf</t>
  </si>
  <si>
    <t>BC THEVAMITTRAN.pdf</t>
  </si>
  <si>
    <t xml:space="preserve">MOGAN RAJ </t>
  </si>
  <si>
    <t>NO37  JALAN DESA H 1 TAMAN DESA INDAH</t>
  </si>
  <si>
    <t xml:space="preserve">PEMBAYARAN YURAN  SEKOLAH </t>
  </si>
  <si>
    <t>TAHUN 2026</t>
  </si>
  <si>
    <t>NO RESIT</t>
  </si>
  <si>
    <t>NO KP</t>
  </si>
  <si>
    <t>NAMA MURID</t>
  </si>
  <si>
    <t>BAYARAN YURAN</t>
  </si>
  <si>
    <t xml:space="preserve">CATATAN </t>
  </si>
  <si>
    <t>001</t>
  </si>
  <si>
    <r>
      <rPr>
        <rFont val="&quot;Nunito Sans&quot;, sans-serif"/>
        <color theme="1"/>
        <sz val="9.0"/>
      </rPr>
      <t>ANSHIKKA A/P GANISEN</t>
    </r>
  </si>
  <si>
    <t>002</t>
  </si>
  <si>
    <r>
      <rPr>
        <rFont val="&quot;Nunito Sans&quot;, sans-serif"/>
        <color theme="1"/>
        <sz val="9.0"/>
      </rPr>
      <t>AVIENASH A/L SIVA</t>
    </r>
  </si>
  <si>
    <t>Lencana 2.40 (keping)</t>
  </si>
  <si>
    <t>003</t>
  </si>
  <si>
    <r>
      <rPr>
        <rFont val="&quot;Nunito Sans&quot;, sans-serif"/>
        <color theme="1"/>
        <sz val="9.0"/>
      </rPr>
      <t>BASHWIN A/L SARAWANAN</t>
    </r>
  </si>
  <si>
    <t>004</t>
  </si>
  <si>
    <t>005</t>
  </si>
  <si>
    <t>DARVINAA A/P THIRUCHELVAM</t>
  </si>
  <si>
    <t>006</t>
  </si>
  <si>
    <r>
      <rPr>
        <rFont val="&quot;Nunito Sans&quot;, sans-serif"/>
        <color theme="1"/>
        <sz val="9.0"/>
      </rPr>
      <t>HASINI A/P RAM</t>
    </r>
  </si>
  <si>
    <t>007</t>
  </si>
  <si>
    <t>008</t>
  </si>
  <si>
    <r>
      <rPr>
        <rFont val="&quot;Nunito Sans&quot;, sans-serif"/>
        <color theme="1"/>
        <sz val="9.0"/>
      </rPr>
      <t>JIVISHNA A/P BASKARAN</t>
    </r>
  </si>
  <si>
    <t>009</t>
  </si>
  <si>
    <t>010</t>
  </si>
  <si>
    <r>
      <rPr>
        <rFont val="&quot;Nunito Sans&quot;, sans-serif"/>
        <color theme="1"/>
        <sz val="9.0"/>
      </rPr>
      <t>KAVIYA A/P ANBALAGAN</t>
    </r>
  </si>
  <si>
    <t>011</t>
  </si>
  <si>
    <t>012</t>
  </si>
  <si>
    <r>
      <rPr>
        <rFont val="&quot;Nunito Sans&quot;, sans-serif"/>
        <color theme="1"/>
        <sz val="9.0"/>
      </rPr>
      <t>KIRTHIKAA A/P THANAGU</t>
    </r>
  </si>
  <si>
    <t>013</t>
  </si>
  <si>
    <r>
      <rPr>
        <rFont val="&quot;Nunito Sans&quot;, sans-serif"/>
        <color theme="1"/>
        <sz val="9.0"/>
      </rPr>
      <t>KITHAAN A/L NAVANETHAN</t>
    </r>
  </si>
  <si>
    <t>014</t>
  </si>
  <si>
    <r>
      <rPr>
        <rFont val="&quot;Nunito Sans&quot;, sans-serif"/>
        <color theme="1"/>
        <sz val="9.0"/>
      </rPr>
      <t>KUHANESHH A/L DILIP</t>
    </r>
  </si>
  <si>
    <t>015</t>
  </si>
  <si>
    <r>
      <rPr>
        <rFont val="&quot;Nunito Sans&quot;, sans-serif"/>
        <color theme="1"/>
        <sz val="9.0"/>
      </rPr>
      <t>MILASHINI A/P SARAVANAN</t>
    </r>
  </si>
  <si>
    <t>016</t>
  </si>
  <si>
    <r>
      <rPr>
        <rFont val="&quot;Nunito Sans&quot;, sans-serif"/>
        <color theme="1"/>
        <sz val="9.0"/>
      </rPr>
      <t>MISHALAN A/L KARTIK</t>
    </r>
  </si>
  <si>
    <t>017</t>
  </si>
  <si>
    <t>018</t>
  </si>
  <si>
    <t>019</t>
  </si>
  <si>
    <r>
      <rPr>
        <rFont val="&quot;Nunito Sans&quot;, sans-serif"/>
        <color theme="1"/>
        <sz val="9.0"/>
      </rPr>
      <t>PRITHIKA A/P NAGADEVAN</t>
    </r>
  </si>
  <si>
    <t>020</t>
  </si>
  <si>
    <r>
      <rPr>
        <rFont val="&quot;Nunito Sans&quot;, sans-serif"/>
        <color theme="1"/>
        <sz val="9.0"/>
      </rPr>
      <t>PRITHISH A/L SURENDARAN</t>
    </r>
  </si>
  <si>
    <t>021</t>
  </si>
  <si>
    <r>
      <rPr>
        <rFont val="&quot;Nunito Sans&quot;, sans-serif"/>
        <color theme="1"/>
        <sz val="9.0"/>
      </rPr>
      <t>SHIVANYAA A/P SUHANTHIRAN</t>
    </r>
  </si>
  <si>
    <t>022</t>
  </si>
  <si>
    <r>
      <rPr>
        <rFont val="&quot;Nunito Sans&quot;, sans-serif"/>
        <color theme="1"/>
        <sz val="9.0"/>
      </rPr>
      <t>THURAI A/L THANGARAJU</t>
    </r>
  </si>
  <si>
    <t>023</t>
  </si>
  <si>
    <r>
      <rPr>
        <rFont val="&quot;Nunito Sans&quot;, sans-serif"/>
        <color theme="1"/>
        <sz val="9.0"/>
      </rPr>
      <t>YAASHIKA A/P EVARAJA</t>
    </r>
  </si>
  <si>
    <t>024</t>
  </si>
  <si>
    <r>
      <rPr>
        <rFont val="&quot;Nunito Sans&quot;, sans-serif"/>
        <color theme="1"/>
        <sz val="9.0"/>
      </rPr>
      <t>YOGATARSHAN A/L KARTIK</t>
    </r>
  </si>
  <si>
    <t>JUMLAH BESAR</t>
  </si>
  <si>
    <t xml:space="preserve">RESIT RASMI </t>
  </si>
  <si>
    <t xml:space="preserve">TARIKH </t>
  </si>
  <si>
    <t>NO.RESIT</t>
  </si>
  <si>
    <t xml:space="preserve">DITERIMA </t>
  </si>
  <si>
    <t xml:space="preserve">WANG DITERIMA </t>
  </si>
  <si>
    <t xml:space="preserve">UNTUK BAYARAN   </t>
  </si>
  <si>
    <t>DATA NILAM   : KELAS  4 BARATHI</t>
  </si>
  <si>
    <t>SESI AKADEMIK 2023/2024</t>
  </si>
  <si>
    <t>JUM KESELURUHAN  BM</t>
  </si>
  <si>
    <t>JUM KESELURUHAN  BI</t>
  </si>
  <si>
    <t>JUM KESELURUHAN  BT</t>
  </si>
  <si>
    <t>TOTAL</t>
  </si>
  <si>
    <t>BM (MAC)</t>
  </si>
  <si>
    <t>BI  (MAC)</t>
  </si>
  <si>
    <t>BT  MAC</t>
  </si>
  <si>
    <t>BM  (APR)</t>
  </si>
  <si>
    <t>BI (APR)</t>
  </si>
  <si>
    <t>BT  (APR)</t>
  </si>
  <si>
    <t>BM  (MEI)</t>
  </si>
  <si>
    <t>BI (MEI)</t>
  </si>
  <si>
    <t>BT  (MEI)</t>
  </si>
  <si>
    <t>BM  (JUN)</t>
  </si>
  <si>
    <t>BI (JUN)</t>
  </si>
  <si>
    <t>BT  (JUN)</t>
  </si>
  <si>
    <t>BM  (JUL)</t>
  </si>
  <si>
    <t>BI (JUL)</t>
  </si>
  <si>
    <t>BT  (JUL)</t>
  </si>
  <si>
    <t>BM  (OGS)</t>
  </si>
  <si>
    <t>BI (OGS)</t>
  </si>
  <si>
    <t>BT  (OGS)</t>
  </si>
  <si>
    <t>BM (SEP)</t>
  </si>
  <si>
    <t>B1  (SEP)</t>
  </si>
  <si>
    <t>BT  (SEP)</t>
  </si>
  <si>
    <t>BM (OKT)</t>
  </si>
  <si>
    <t>B1  (OKT)</t>
  </si>
  <si>
    <t>BT  (OKT)</t>
  </si>
  <si>
    <t>BM (NOV)</t>
  </si>
  <si>
    <t>B1  (NOV)</t>
  </si>
  <si>
    <t>BT  (NOV)</t>
  </si>
  <si>
    <t>BM (DIS)</t>
  </si>
  <si>
    <t>B1  (DIS)</t>
  </si>
  <si>
    <t>BT  (DIS)</t>
  </si>
  <si>
    <t>BM (JAN)</t>
  </si>
  <si>
    <t>B1  (JAN)</t>
  </si>
  <si>
    <t>BT  (JAN)</t>
  </si>
  <si>
    <t>ANITHRA A/P PARTHIBAN</t>
  </si>
  <si>
    <t>0</t>
  </si>
  <si>
    <t>2</t>
  </si>
  <si>
    <t>1</t>
  </si>
  <si>
    <t>5</t>
  </si>
  <si>
    <t>11</t>
  </si>
  <si>
    <t>6</t>
  </si>
  <si>
    <t>ARISH A/L KESAVAN</t>
  </si>
  <si>
    <t>ELAKEYAH A/P EVARAJA</t>
  </si>
  <si>
    <t>3</t>
  </si>
  <si>
    <t>10</t>
  </si>
  <si>
    <t>39</t>
  </si>
  <si>
    <t>12</t>
  </si>
  <si>
    <t>15</t>
  </si>
  <si>
    <t>7</t>
  </si>
  <si>
    <t>4</t>
  </si>
  <si>
    <t>HAARISH RAAJ A/L THARMARAJ</t>
  </si>
  <si>
    <t>8</t>
  </si>
  <si>
    <t>JASHWINI A/P SATHISKUMAR</t>
  </si>
  <si>
    <t>16</t>
  </si>
  <si>
    <t>JIVEENA A/P GUNASEGARAN</t>
  </si>
  <si>
    <t>KARTHIBAN A/L UTHAYAKUMAR</t>
  </si>
  <si>
    <t>KOVAARTHERNY A/P VIJAYENDREN</t>
  </si>
  <si>
    <t>L. THERSHINI A/P LOGESWARAN</t>
  </si>
  <si>
    <t>NARESH A/L VISHNU KUMAR</t>
  </si>
  <si>
    <t>9</t>
  </si>
  <si>
    <t>17</t>
  </si>
  <si>
    <t>NITYASREE A/P PALANIAPPAN</t>
  </si>
  <si>
    <t>SAKTHI MUTHUKUMARAN</t>
  </si>
  <si>
    <t>14</t>
  </si>
  <si>
    <t>24</t>
  </si>
  <si>
    <t>SAYESHAN A/L KUNASEKARAN</t>
  </si>
  <si>
    <t>SHAADANASREE A/P C.VASANTHAN</t>
  </si>
  <si>
    <t>SHANMATY A/P MUNISVARAN</t>
  </si>
  <si>
    <t>SHARAN A/L MUNIANDY</t>
  </si>
  <si>
    <t>SHARVIN A/L VIJAYAN</t>
  </si>
  <si>
    <t>SUGAESHAN A/L THIRU SELVAM</t>
  </si>
  <si>
    <t>21</t>
  </si>
  <si>
    <t>TAVINESKUMAR A/L MURUGAN</t>
  </si>
  <si>
    <t>THIVASHANA A/P PATMA NATAN</t>
  </si>
  <si>
    <t>THIVASHINI A/P PATMA NATAN</t>
  </si>
  <si>
    <t>THULASI A/P SARAVANAN</t>
  </si>
  <si>
    <t>13</t>
  </si>
  <si>
    <t>VENISS A/L GANESAN</t>
  </si>
  <si>
    <t>VIJAYA THEVESVARAN A/L THIYAGU</t>
  </si>
  <si>
    <t>VISHNU A/L RAMESH</t>
  </si>
  <si>
    <t>20</t>
  </si>
  <si>
    <t>YUGAN A/L THEYAGARAJAN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</si>
</sst>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9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9.0"/>
      <color theme="1"/>
      <name val="Arial"/>
    </font>
    <font/>
    <font>
      <u/>
      <color rgb="FF0000FF"/>
      <name val="Arial"/>
    </font>
    <font>
      <color theme="1"/>
      <name val="&quot;Nunito Sans&quot;"/>
    </font>
    <font>
      <color rgb="FF212529"/>
      <name val="&quot;Nunito Sans&quot;"/>
    </font>
    <font>
      <b/>
      <sz val="8.0"/>
      <color theme="1"/>
      <name val="Arial"/>
    </font>
    <font>
      <sz val="8.0"/>
      <color theme="1"/>
      <name val="Arial"/>
    </font>
    <font>
      <color rgb="FF000000"/>
      <name val="&quot;Nunito Sans&quot;"/>
    </font>
    <font>
      <color theme="1"/>
      <name val="Arial Narrow"/>
    </font>
    <font>
      <b/>
      <color theme="1"/>
      <name val="Arial Narrow"/>
    </font>
    <font>
      <b/>
      <sz val="11.0"/>
      <color rgb="FF212529"/>
      <name val="Arial Narrow"/>
    </font>
    <font>
      <b/>
      <sz val="11.0"/>
      <color theme="1"/>
      <name val="Arial Narrow"/>
    </font>
    <font>
      <b/>
      <u/>
      <color theme="1"/>
      <name val="Arial Narrow"/>
    </font>
    <font>
      <b/>
      <u/>
      <color theme="1"/>
      <name val="Arial Narrow"/>
    </font>
    <font>
      <color theme="1"/>
      <name val="Nunito Sans"/>
    </font>
    <font>
      <sz val="12.0"/>
      <color rgb="FF000000"/>
      <name val="Arial Narrow"/>
    </font>
    <font>
      <b/>
      <u/>
      <color rgb="FF000000"/>
      <name val="Arial Narrow"/>
    </font>
    <font>
      <b/>
      <u/>
      <color rgb="FF0000FF"/>
      <name val="Arial Narrow"/>
    </font>
    <font>
      <b/>
      <u/>
      <color theme="1"/>
      <name val="Arial Narrow"/>
    </font>
    <font>
      <b/>
      <sz val="11.0"/>
      <color rgb="FF000000"/>
      <name val="Arial Narrow"/>
    </font>
    <font>
      <sz val="11.0"/>
      <color rgb="FF000000"/>
      <name val="Arial Narrow"/>
    </font>
    <font>
      <color theme="1"/>
      <name val="Arial"/>
      <scheme val="minor"/>
    </font>
    <font>
      <sz val="8.0"/>
      <color rgb="FF000000"/>
      <name val="Arial Narrow"/>
    </font>
    <font>
      <b/>
      <sz val="8.0"/>
      <color theme="1"/>
      <name val="Arial"/>
      <scheme val="minor"/>
    </font>
    <font>
      <sz val="9.0"/>
      <color theme="1"/>
      <name val="Arial"/>
      <scheme val="minor"/>
    </font>
    <font>
      <sz val="9.0"/>
      <color theme="1"/>
      <name val="Nunito Sans"/>
    </font>
    <font>
      <sz val="9.0"/>
      <color theme="1"/>
      <name val="Arial"/>
    </font>
    <font>
      <sz val="9.0"/>
      <color theme="1"/>
      <name val="&quot;Nunito Sans&quot;"/>
    </font>
    <font>
      <b/>
      <sz val="16.0"/>
      <color theme="1"/>
      <name val="&quot;Nunito Sans&quot;"/>
    </font>
    <font>
      <b/>
      <sz val="15.0"/>
      <color theme="1"/>
      <name val="Arial"/>
      <scheme val="minor"/>
    </font>
    <font>
      <sz val="9.0"/>
      <color rgb="FF000000"/>
      <name val="&quot;Nunito Sans&quot;"/>
    </font>
    <font>
      <b/>
      <color theme="1"/>
      <name val="Arial"/>
      <scheme val="minor"/>
    </font>
    <font>
      <b/>
      <sz val="7.0"/>
      <color theme="1"/>
      <name val="Arial"/>
    </font>
    <font>
      <color theme="1"/>
      <name val="Calibri"/>
    </font>
    <font>
      <sz val="8.0"/>
      <color rgb="FF000000"/>
      <name val="Arial"/>
    </font>
    <font>
      <sz val="11.0"/>
      <color theme="1"/>
      <name val="&quot;Lohit Tamil&quot;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EFF"/>
        <bgColor rgb="FFFFFEFF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</fills>
  <borders count="21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E4E9F0"/>
      </right>
      <top style="thin">
        <color rgb="FFDEE2E6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E4E9F0"/>
      </right>
      <top style="thin">
        <color rgb="FFE4E9F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vertical="bottom"/>
    </xf>
    <xf borderId="1" fillId="0" fontId="4" numFmtId="0" xfId="0" applyBorder="1" applyFont="1"/>
    <xf borderId="4" fillId="0" fontId="4" numFmtId="0" xfId="0" applyBorder="1" applyFont="1"/>
    <xf borderId="5" fillId="0" fontId="1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7" fillId="0" fontId="1" numFmtId="0" xfId="0" applyAlignment="1" applyBorder="1" applyFont="1">
      <alignment vertical="bottom"/>
    </xf>
    <xf borderId="0" fillId="0" fontId="5" numFmtId="0" xfId="0" applyAlignment="1" applyFont="1">
      <alignment readingOrder="0" vertical="bottom"/>
    </xf>
    <xf borderId="8" fillId="0" fontId="6" numFmtId="0" xfId="0" applyAlignment="1" applyBorder="1" applyFont="1">
      <alignment horizontal="left" readingOrder="0" vertical="top"/>
    </xf>
    <xf borderId="8" fillId="0" fontId="7" numFmtId="0" xfId="0" applyAlignment="1" applyBorder="1" applyFont="1">
      <alignment horizontal="left" readingOrder="0" vertical="top"/>
    </xf>
    <xf borderId="9" fillId="0" fontId="4" numFmtId="0" xfId="0" applyBorder="1" applyFont="1"/>
    <xf borderId="10" fillId="0" fontId="1" numFmtId="0" xfId="0" applyAlignment="1" applyBorder="1" applyFont="1">
      <alignment horizontal="center" readingOrder="0" shrinkToFit="0" vertical="bottom" wrapText="1"/>
    </xf>
    <xf borderId="10" fillId="0" fontId="3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bottom"/>
    </xf>
    <xf borderId="10" fillId="0" fontId="1" numFmtId="0" xfId="0" applyAlignment="1" applyBorder="1" applyFont="1">
      <alignment horizontal="center" readingOrder="0" vertical="bottom"/>
    </xf>
    <xf borderId="11" fillId="0" fontId="3" numFmtId="0" xfId="0" applyAlignment="1" applyBorder="1" applyFont="1">
      <alignment horizontal="center" readingOrder="0" shrinkToFit="0" vertical="center" wrapText="1"/>
    </xf>
    <xf borderId="12" fillId="0" fontId="7" numFmtId="0" xfId="0" applyAlignment="1" applyBorder="1" applyFont="1">
      <alignment horizontal="left" vertical="top"/>
    </xf>
    <xf borderId="11" fillId="0" fontId="1" numFmtId="0" xfId="0" applyAlignment="1" applyBorder="1" applyFont="1">
      <alignment horizontal="center" readingOrder="0" vertical="bottom"/>
    </xf>
    <xf borderId="5" fillId="0" fontId="8" numFmtId="0" xfId="0" applyAlignment="1" applyBorder="1" applyFont="1">
      <alignment horizontal="center" readingOrder="0" shrinkToFit="0" vertical="bottom" wrapText="1"/>
    </xf>
    <xf borderId="12" fillId="0" fontId="7" numFmtId="0" xfId="0" applyAlignment="1" applyBorder="1" applyFont="1">
      <alignment horizontal="left" readingOrder="0" vertical="top"/>
    </xf>
    <xf borderId="11" fillId="0" fontId="3" numFmtId="0" xfId="0" applyAlignment="1" applyBorder="1" applyFont="1">
      <alignment horizontal="center" shrinkToFit="0" vertical="bottom" wrapText="1"/>
    </xf>
    <xf borderId="7" fillId="0" fontId="9" numFmtId="0" xfId="0" applyAlignment="1" applyBorder="1" applyFont="1">
      <alignment horizontal="center" readingOrder="0" shrinkToFit="0" vertical="bottom" wrapText="1"/>
    </xf>
    <xf borderId="13" fillId="0" fontId="4" numFmtId="0" xfId="0" applyBorder="1" applyFont="1"/>
    <xf borderId="12" fillId="0" fontId="10" numFmtId="0" xfId="0" applyAlignment="1" applyBorder="1" applyFont="1">
      <alignment horizontal="left" readingOrder="0" vertical="top"/>
    </xf>
    <xf borderId="14" fillId="0" fontId="4" numFmtId="0" xfId="0" applyBorder="1" applyFont="1"/>
    <xf borderId="12" fillId="0" fontId="6" numFmtId="0" xfId="0" applyAlignment="1" applyBorder="1" applyFont="1">
      <alignment horizontal="left" readingOrder="0" vertical="top"/>
    </xf>
    <xf borderId="15" fillId="0" fontId="8" numFmtId="0" xfId="0" applyAlignment="1" applyBorder="1" applyFont="1">
      <alignment readingOrder="0" vertical="bottom"/>
    </xf>
    <xf borderId="9" fillId="2" fontId="11" numFmtId="0" xfId="0" applyAlignment="1" applyBorder="1" applyFill="1" applyFont="1">
      <alignment horizontal="center" vertical="bottom"/>
    </xf>
    <xf borderId="10" fillId="0" fontId="7" numFmtId="0" xfId="0" applyAlignment="1" applyBorder="1" applyFont="1">
      <alignment horizontal="left" readingOrder="0" vertical="top"/>
    </xf>
    <xf borderId="10" fillId="0" fontId="8" numFmtId="0" xfId="0" applyAlignment="1" applyBorder="1" applyFont="1">
      <alignment horizontal="center" readingOrder="0" shrinkToFit="0" vertical="center" wrapText="1"/>
    </xf>
    <xf borderId="10" fillId="0" fontId="7" numFmtId="0" xfId="0" applyAlignment="1" applyBorder="1" applyFont="1">
      <alignment horizontal="left" readingOrder="0" shrinkToFit="0" vertical="top" wrapText="1"/>
    </xf>
    <xf borderId="9" fillId="3" fontId="9" numFmtId="0" xfId="0" applyAlignment="1" applyBorder="1" applyFill="1" applyFont="1">
      <alignment horizontal="center" vertical="bottom"/>
    </xf>
    <xf borderId="10" fillId="0" fontId="8" numFmtId="0" xfId="0" applyAlignment="1" applyBorder="1" applyFont="1">
      <alignment horizontal="center" readingOrder="0" vertical="center"/>
    </xf>
    <xf borderId="10" fillId="0" fontId="8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readingOrder="0" vertical="bottom"/>
    </xf>
    <xf borderId="4" fillId="0" fontId="12" numFmtId="0" xfId="0" applyAlignment="1" applyBorder="1" applyFont="1">
      <alignment horizontal="center" vertical="bottom"/>
    </xf>
    <xf borderId="4" fillId="0" fontId="12" numFmtId="0" xfId="0" applyAlignment="1" applyBorder="1" applyFont="1">
      <alignment horizontal="center" readingOrder="0" vertical="bottom"/>
    </xf>
    <xf borderId="8" fillId="0" fontId="7" numFmtId="0" xfId="0" applyAlignment="1" applyBorder="1" applyFont="1">
      <alignment horizontal="center" readingOrder="0" vertical="top"/>
    </xf>
    <xf borderId="8" fillId="0" fontId="6" numFmtId="0" xfId="0" applyAlignment="1" applyBorder="1" applyFont="1">
      <alignment horizontal="left" vertical="top"/>
    </xf>
    <xf borderId="10" fillId="0" fontId="13" numFmtId="0" xfId="0" applyAlignment="1" applyBorder="1" applyFont="1">
      <alignment horizontal="left" readingOrder="0" shrinkToFit="0" vertical="top" wrapText="1"/>
    </xf>
    <xf borderId="9" fillId="4" fontId="11" numFmtId="0" xfId="0" applyAlignment="1" applyBorder="1" applyFill="1" applyFont="1">
      <alignment horizontal="center" vertical="bottom"/>
    </xf>
    <xf borderId="10" fillId="0" fontId="13" numFmtId="0" xfId="0" applyAlignment="1" applyBorder="1" applyFont="1">
      <alignment horizontal="left" readingOrder="0" vertical="top"/>
    </xf>
    <xf borderId="9" fillId="3" fontId="14" numFmtId="0" xfId="0" applyAlignment="1" applyBorder="1" applyFill="1" applyFont="1">
      <alignment horizontal="center" vertical="bottom"/>
    </xf>
    <xf borderId="4" fillId="4" fontId="12" numFmtId="0" xfId="0" applyAlignment="1" applyBorder="1" applyFill="1" applyFont="1">
      <alignment horizontal="center" vertical="bottom"/>
    </xf>
    <xf borderId="4" fillId="3" fontId="14" numFmtId="0" xfId="0" applyAlignment="1" applyBorder="1" applyFill="1" applyFont="1">
      <alignment horizontal="center" readingOrder="0" vertical="bottom"/>
    </xf>
    <xf borderId="4" fillId="4" fontId="12" numFmtId="0" xfId="0" applyAlignment="1" applyBorder="1" applyFill="1" applyFont="1">
      <alignment horizontal="center" readingOrder="0" vertical="bottom"/>
    </xf>
    <xf borderId="12" fillId="0" fontId="7" numFmtId="0" xfId="0" applyAlignment="1" applyBorder="1" applyFont="1">
      <alignment horizontal="center" readingOrder="0" vertical="top"/>
    </xf>
    <xf borderId="12" fillId="0" fontId="6" numFmtId="0" xfId="0" applyAlignment="1" applyBorder="1" applyFont="1">
      <alignment horizontal="left" vertical="top"/>
    </xf>
    <xf borderId="4" fillId="0" fontId="15" numFmtId="0" xfId="0" applyAlignment="1" applyBorder="1" applyFont="1">
      <alignment readingOrder="0" shrinkToFit="0" vertical="bottom" wrapText="1"/>
    </xf>
    <xf borderId="4" fillId="0" fontId="12" numFmtId="0" xfId="0" applyAlignment="1" applyBorder="1" applyFont="1">
      <alignment vertical="bottom"/>
    </xf>
    <xf borderId="1" fillId="0" fontId="12" numFmtId="0" xfId="0" applyAlignment="1" applyBorder="1" applyFont="1">
      <alignment vertical="bottom"/>
    </xf>
    <xf borderId="9" fillId="3" fontId="9" numFmtId="0" xfId="0" applyAlignment="1" applyBorder="1" applyFill="1" applyFont="1">
      <alignment horizontal="center" vertical="top"/>
    </xf>
    <xf borderId="5" fillId="0" fontId="1" numFmtId="0" xfId="0" applyAlignment="1" applyBorder="1" applyFont="1">
      <alignment readingOrder="0" vertical="bottom"/>
    </xf>
    <xf borderId="7" fillId="0" fontId="1" numFmtId="0" xfId="0" applyAlignment="1" applyBorder="1" applyFont="1">
      <alignment readingOrder="0" vertical="bottom"/>
    </xf>
    <xf borderId="15" fillId="0" fontId="1" numFmtId="0" xfId="0" applyAlignment="1" applyBorder="1" applyFont="1">
      <alignment vertical="bottom"/>
    </xf>
    <xf borderId="0" fillId="0" fontId="1" numFmtId="0" xfId="0" applyAlignment="1" applyFont="1">
      <alignment readingOrder="0" vertical="bottom"/>
    </xf>
    <xf quotePrefix="1" borderId="4" fillId="5" fontId="12" numFmtId="0" xfId="0" applyAlignment="1" applyBorder="1" applyFill="1" applyFont="1">
      <alignment horizontal="center" readingOrder="0" vertical="bottom"/>
    </xf>
    <xf borderId="10" fillId="0" fontId="1" numFmtId="0" xfId="0" applyAlignment="1" applyBorder="1" applyFont="1">
      <alignment horizontal="center" vertical="bottom"/>
    </xf>
    <xf borderId="12" fillId="0" fontId="6" numFmtId="0" xfId="0" applyAlignment="1" applyBorder="1" applyFont="1">
      <alignment horizontal="left" readingOrder="0" vertical="top"/>
    </xf>
    <xf borderId="9" fillId="4" fontId="11" numFmtId="0" xfId="0" applyAlignment="1" applyBorder="1" applyFill="1" applyFont="1">
      <alignment horizontal="center" readingOrder="0" vertical="bottom"/>
    </xf>
    <xf borderId="4" fillId="4" fontId="16" numFmtId="0" xfId="0" applyAlignment="1" applyBorder="1" applyFill="1" applyFont="1">
      <alignment readingOrder="0" shrinkToFit="0" vertical="bottom" wrapText="1"/>
    </xf>
    <xf quotePrefix="1" borderId="4" fillId="4" fontId="12" numFmtId="0" xfId="0" applyAlignment="1" applyBorder="1" applyFill="1" applyFont="1">
      <alignment readingOrder="0" vertical="bottom"/>
    </xf>
    <xf quotePrefix="1" borderId="1" fillId="4" fontId="12" numFmtId="0" xfId="0" applyAlignment="1" applyBorder="1" applyFill="1" applyFont="1">
      <alignment readingOrder="0" vertical="bottom"/>
    </xf>
    <xf borderId="9" fillId="2" fontId="11" numFmtId="0" xfId="0" applyAlignment="1" applyBorder="1" applyFill="1" applyFont="1">
      <alignment horizontal="center" readingOrder="0" vertical="bottom"/>
    </xf>
    <xf borderId="9" fillId="3" fontId="14" numFmtId="0" xfId="0" applyAlignment="1" applyBorder="1" applyFill="1" applyFont="1">
      <alignment horizontal="center" readingOrder="0" vertical="bottom"/>
    </xf>
    <xf borderId="10" fillId="0" fontId="17" numFmtId="0" xfId="0" applyAlignment="1" applyBorder="1" applyFont="1">
      <alignment horizontal="left" vertical="top"/>
    </xf>
    <xf borderId="4" fillId="2" fontId="12" numFmtId="0" xfId="0" applyAlignment="1" applyBorder="1" applyFill="1" applyFont="1">
      <alignment horizontal="center" vertical="bottom"/>
    </xf>
    <xf borderId="4" fillId="2" fontId="12" numFmtId="0" xfId="0" applyAlignment="1" applyBorder="1" applyFill="1" applyFont="1">
      <alignment horizontal="center" readingOrder="0" vertical="bottom"/>
    </xf>
    <xf borderId="4" fillId="4" fontId="12" numFmtId="0" xfId="0" applyAlignment="1" applyBorder="1" applyFill="1" applyFont="1">
      <alignment vertical="bottom"/>
    </xf>
    <xf borderId="1" fillId="4" fontId="12" numFmtId="0" xfId="0" applyAlignment="1" applyBorder="1" applyFill="1" applyFont="1">
      <alignment vertical="bottom"/>
    </xf>
    <xf borderId="9" fillId="3" fontId="14" numFmtId="0" xfId="0" applyAlignment="1" applyBorder="1" applyFill="1" applyFont="1">
      <alignment horizontal="center" readingOrder="0" vertical="top"/>
    </xf>
    <xf borderId="10" fillId="0" fontId="10" numFmtId="0" xfId="0" applyAlignment="1" applyBorder="1" applyFont="1">
      <alignment horizontal="left" readingOrder="0" vertical="top"/>
    </xf>
    <xf borderId="10" fillId="0" fontId="6" numFmtId="0" xfId="0" applyAlignment="1" applyBorder="1" applyFont="1">
      <alignment horizontal="center" readingOrder="0" vertical="top"/>
    </xf>
    <xf borderId="9" fillId="3" fontId="18" numFmtId="0" xfId="0" applyAlignment="1" applyBorder="1" applyFill="1" applyFont="1">
      <alignment horizontal="center" readingOrder="0"/>
    </xf>
    <xf borderId="10" fillId="4" fontId="10" numFmtId="0" xfId="0" applyAlignment="1" applyBorder="1" applyFill="1" applyFont="1">
      <alignment horizontal="left" readingOrder="0" vertical="top"/>
    </xf>
    <xf borderId="10" fillId="4" fontId="6" numFmtId="0" xfId="0" applyAlignment="1" applyBorder="1" applyFill="1" applyFont="1">
      <alignment horizontal="center" readingOrder="0" vertical="top"/>
    </xf>
    <xf borderId="9" fillId="4" fontId="18" numFmtId="0" xfId="0" applyAlignment="1" applyBorder="1" applyFill="1" applyFont="1">
      <alignment horizontal="center" readingOrder="0" vertical="top"/>
    </xf>
    <xf borderId="9" fillId="3" fontId="18" numFmtId="0" xfId="0" applyAlignment="1" applyBorder="1" applyFill="1" applyFont="1">
      <alignment horizontal="center" readingOrder="0" vertical="top"/>
    </xf>
    <xf borderId="9" fillId="0" fontId="10" numFmtId="0" xfId="0" applyAlignment="1" applyBorder="1" applyFont="1">
      <alignment horizontal="left" readingOrder="0" vertical="top"/>
    </xf>
    <xf borderId="9" fillId="0" fontId="6" numFmtId="0" xfId="0" applyAlignment="1" applyBorder="1" applyFont="1">
      <alignment horizontal="center" readingOrder="0" vertical="top"/>
    </xf>
    <xf borderId="0" fillId="0" fontId="7" numFmtId="0" xfId="0" applyAlignment="1" applyFont="1">
      <alignment horizontal="left" readingOrder="0" vertical="top"/>
    </xf>
    <xf borderId="4" fillId="0" fontId="19" numFmtId="0" xfId="0" applyAlignment="1" applyBorder="1" applyFont="1">
      <alignment readingOrder="0" shrinkToFit="0" vertical="center" wrapText="1"/>
    </xf>
    <xf borderId="1" fillId="0" fontId="11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quotePrefix="1" borderId="4" fillId="0" fontId="12" numFmtId="0" xfId="0" applyAlignment="1" applyBorder="1" applyFont="1">
      <alignment horizontal="center" readingOrder="0" vertical="bottom"/>
    </xf>
    <xf borderId="9" fillId="3" fontId="3" numFmtId="0" xfId="0" applyAlignment="1" applyBorder="1" applyFill="1" applyFont="1">
      <alignment horizontal="center" readingOrder="0" vertical="bottom"/>
    </xf>
    <xf borderId="4" fillId="5" fontId="12" numFmtId="0" xfId="0" applyAlignment="1" applyBorder="1" applyFill="1" applyFont="1">
      <alignment horizontal="center" readingOrder="0" vertical="bottom"/>
    </xf>
    <xf borderId="10" fillId="0" fontId="12" numFmtId="0" xfId="0" applyBorder="1" applyFont="1"/>
    <xf borderId="10" fillId="0" fontId="12" numFmtId="0" xfId="0" applyAlignment="1" applyBorder="1" applyFont="1">
      <alignment horizontal="center" readingOrder="0"/>
    </xf>
    <xf borderId="9" fillId="3" fontId="14" numFmtId="0" xfId="0" applyAlignment="1" applyBorder="1" applyFill="1" applyFont="1">
      <alignment horizontal="center" vertical="top"/>
    </xf>
    <xf borderId="16" fillId="0" fontId="11" numFmtId="0" xfId="0" applyAlignment="1" applyBorder="1" applyFont="1">
      <alignment vertical="bottom"/>
    </xf>
    <xf borderId="9" fillId="3" fontId="3" numFmtId="0" xfId="0" applyAlignment="1" applyBorder="1" applyFill="1" applyFont="1">
      <alignment horizontal="center" vertical="bottom"/>
    </xf>
    <xf borderId="10" fillId="0" fontId="12" numFmtId="0" xfId="0" applyAlignment="1" applyBorder="1" applyFont="1">
      <alignment horizontal="center"/>
    </xf>
    <xf borderId="0" fillId="0" fontId="6" numFmtId="0" xfId="0" applyAlignment="1" applyFont="1">
      <alignment horizontal="center" readingOrder="0" vertical="top"/>
    </xf>
    <xf borderId="0" fillId="0" fontId="10" numFmtId="0" xfId="0" applyAlignment="1" applyFont="1">
      <alignment horizontal="left" readingOrder="0" vertical="top"/>
    </xf>
    <xf borderId="4" fillId="2" fontId="20" numFmtId="0" xfId="0" applyAlignment="1" applyBorder="1" applyFill="1" applyFont="1">
      <alignment horizontal="center" readingOrder="0" shrinkToFit="0" vertical="center" wrapText="1"/>
    </xf>
    <xf quotePrefix="1" borderId="4" fillId="4" fontId="12" numFmtId="0" xfId="0" applyAlignment="1" applyBorder="1" applyFill="1" applyFont="1">
      <alignment horizontal="center" readingOrder="0" vertical="bottom"/>
    </xf>
    <xf borderId="10" fillId="0" fontId="14" numFmtId="0" xfId="0" applyAlignment="1" applyBorder="1" applyFont="1">
      <alignment horizontal="left" vertical="top"/>
    </xf>
    <xf borderId="4" fillId="2" fontId="21" numFmtId="0" xfId="0" applyAlignment="1" applyBorder="1" applyFill="1" applyFont="1">
      <alignment readingOrder="0" shrinkToFit="0" vertical="bottom" wrapText="1"/>
    </xf>
    <xf quotePrefix="1" borderId="4" fillId="2" fontId="12" numFmtId="0" xfId="0" applyAlignment="1" applyBorder="1" applyFill="1" applyFont="1">
      <alignment horizontal="center" readingOrder="0" vertical="bottom"/>
    </xf>
    <xf borderId="10" fillId="0" fontId="14" numFmtId="0" xfId="0" applyAlignment="1" applyBorder="1" applyFont="1">
      <alignment vertical="top"/>
    </xf>
    <xf borderId="10" fillId="0" fontId="14" numFmtId="0" xfId="0" applyAlignment="1" applyBorder="1" applyFont="1">
      <alignment horizontal="right" vertical="top"/>
    </xf>
    <xf borderId="9" fillId="2" fontId="14" numFmtId="0" xfId="0" applyAlignment="1" applyBorder="1" applyFill="1" applyFont="1">
      <alignment horizontal="center" vertical="top"/>
    </xf>
    <xf borderId="4" fillId="3" fontId="22" numFmtId="0" xfId="0" applyAlignment="1" applyBorder="1" applyFill="1" applyFont="1">
      <alignment horizontal="center" readingOrder="0"/>
    </xf>
    <xf borderId="4" fillId="0" fontId="12" numFmtId="0" xfId="0" applyAlignment="1" applyBorder="1" applyFont="1">
      <alignment shrinkToFit="0" vertical="bottom" wrapText="1"/>
    </xf>
    <xf quotePrefix="1" borderId="4" fillId="0" fontId="12" numFmtId="0" xfId="0" applyAlignment="1" applyBorder="1" applyFont="1">
      <alignment readingOrder="0" vertical="bottom"/>
    </xf>
    <xf borderId="10" fillId="0" fontId="1" numFmtId="0" xfId="0" applyAlignment="1" applyBorder="1" applyFont="1">
      <alignment readingOrder="0" vertical="bottom"/>
    </xf>
    <xf borderId="9" fillId="2" fontId="14" numFmtId="0" xfId="0" applyAlignment="1" applyBorder="1" applyFill="1" applyFont="1">
      <alignment horizontal="center" vertical="bottom"/>
    </xf>
    <xf borderId="4" fillId="4" fontId="22" numFmtId="0" xfId="0" applyAlignment="1" applyBorder="1" applyFill="1" applyFont="1">
      <alignment horizontal="center" readingOrder="0" vertical="top"/>
    </xf>
    <xf borderId="4" fillId="4" fontId="12" numFmtId="0" xfId="0" applyAlignment="1" applyBorder="1" applyFill="1" applyFont="1">
      <alignment shrinkToFit="0" vertical="bottom" wrapText="1"/>
    </xf>
    <xf borderId="10" fillId="0" fontId="13" numFmtId="0" xfId="0" applyAlignment="1" applyBorder="1" applyFont="1">
      <alignment vertical="top"/>
    </xf>
    <xf borderId="4" fillId="3" fontId="23" numFmtId="0" xfId="0" applyAlignment="1" applyBorder="1" applyFill="1" applyFont="1">
      <alignment horizontal="center" readingOrder="0" vertical="top"/>
    </xf>
    <xf borderId="4" fillId="3" fontId="22" numFmtId="0" xfId="0" applyAlignment="1" applyBorder="1" applyFill="1" applyFont="1">
      <alignment horizontal="center" readingOrder="0" vertical="top"/>
    </xf>
    <xf borderId="10" fillId="2" fontId="13" numFmtId="0" xfId="0" applyAlignment="1" applyBorder="1" applyFill="1" applyFont="1">
      <alignment vertical="bottom"/>
    </xf>
    <xf quotePrefix="1" borderId="4" fillId="5" fontId="12" numFmtId="0" xfId="0" applyAlignment="1" applyBorder="1" applyFill="1" applyFont="1">
      <alignment readingOrder="0" vertical="bottom"/>
    </xf>
    <xf borderId="10" fillId="0" fontId="13" numFmtId="0" xfId="0" applyAlignment="1" applyBorder="1" applyFont="1">
      <alignment vertical="top"/>
    </xf>
    <xf borderId="10" fillId="0" fontId="12" numFmtId="0" xfId="0" applyAlignment="1" applyBorder="1" applyFont="1">
      <alignment shrinkToFit="0" wrapText="1"/>
    </xf>
    <xf quotePrefix="1" borderId="10" fillId="0" fontId="12" numFmtId="0" xfId="0" applyAlignment="1" applyBorder="1" applyFont="1">
      <alignment readingOrder="0" shrinkToFit="0" wrapText="1"/>
    </xf>
    <xf borderId="10" fillId="0" fontId="1" numFmtId="0" xfId="0" applyAlignment="1" applyBorder="1" applyFont="1">
      <alignment vertical="bottom"/>
    </xf>
    <xf borderId="4" fillId="3" fontId="3" numFmtId="0" xfId="0" applyAlignment="1" applyBorder="1" applyFill="1" applyFont="1">
      <alignment horizontal="center" vertical="bottom"/>
    </xf>
    <xf borderId="1" fillId="0" fontId="12" numFmtId="0" xfId="0" applyAlignment="1" applyBorder="1" applyFont="1">
      <alignment shrinkToFit="0" wrapText="1"/>
    </xf>
    <xf borderId="4" fillId="3" fontId="3" numFmtId="0" xfId="0" applyAlignment="1" applyBorder="1" applyFill="1" applyFont="1">
      <alignment horizontal="center" readingOrder="0" vertical="bottom"/>
    </xf>
    <xf borderId="0" fillId="0" fontId="24" numFmtId="0" xfId="0" applyAlignment="1" applyFont="1">
      <alignment shrinkToFit="0" wrapText="1"/>
    </xf>
    <xf borderId="4" fillId="2" fontId="12" numFmtId="0" xfId="0" applyAlignment="1" applyBorder="1" applyFill="1" applyFont="1">
      <alignment vertical="bottom"/>
    </xf>
    <xf borderId="1" fillId="2" fontId="12" numFmtId="0" xfId="0" applyAlignment="1" applyBorder="1" applyFill="1" applyFont="1">
      <alignment vertical="bottom"/>
    </xf>
    <xf borderId="9" fillId="3" fontId="25" numFmtId="0" xfId="0" applyAlignment="1" applyBorder="1" applyFill="1" applyFont="1">
      <alignment horizontal="center" readingOrder="0"/>
    </xf>
    <xf borderId="17" fillId="0" fontId="1" numFmtId="0" xfId="0" applyAlignment="1" applyBorder="1" applyFont="1">
      <alignment vertical="bottom"/>
    </xf>
    <xf borderId="0" fillId="0" fontId="24" numFmtId="0" xfId="0" applyAlignment="1" applyFont="1">
      <alignment horizontal="center"/>
    </xf>
    <xf borderId="0" fillId="0" fontId="24" numFmtId="0" xfId="0" applyAlignment="1" applyFont="1">
      <alignment horizontal="center" readingOrder="0"/>
    </xf>
    <xf borderId="10" fillId="0" fontId="26" numFmtId="0" xfId="0" applyAlignment="1" applyBorder="1" applyFont="1">
      <alignment horizontal="center" readingOrder="0"/>
    </xf>
    <xf borderId="10" fillId="0" fontId="26" numFmtId="0" xfId="0" applyAlignment="1" applyBorder="1" applyFont="1">
      <alignment horizontal="left" readingOrder="0"/>
    </xf>
    <xf borderId="10" fillId="0" fontId="26" numFmtId="0" xfId="0" applyAlignment="1" applyBorder="1" applyFont="1">
      <alignment readingOrder="0"/>
    </xf>
    <xf quotePrefix="1" borderId="10" fillId="0" fontId="27" numFmtId="0" xfId="0" applyAlignment="1" applyBorder="1" applyFont="1">
      <alignment horizontal="center" readingOrder="0"/>
    </xf>
    <xf borderId="10" fillId="0" fontId="28" numFmtId="0" xfId="0" applyAlignment="1" applyBorder="1" applyFont="1">
      <alignment horizontal="center" vertical="top"/>
    </xf>
    <xf borderId="10" fillId="0" fontId="28" numFmtId="0" xfId="0" applyAlignment="1" applyBorder="1" applyFont="1">
      <alignment horizontal="left" vertical="top"/>
    </xf>
    <xf borderId="10" fillId="0" fontId="27" numFmtId="0" xfId="0" applyAlignment="1" applyBorder="1" applyFont="1">
      <alignment horizontal="center" readingOrder="0"/>
    </xf>
    <xf borderId="10" fillId="0" fontId="24" numFmtId="0" xfId="0" applyBorder="1" applyFont="1"/>
    <xf borderId="10" fillId="0" fontId="24" numFmtId="0" xfId="0" applyAlignment="1" applyBorder="1" applyFont="1">
      <alignment readingOrder="0" shrinkToFit="0" wrapText="1"/>
    </xf>
    <xf borderId="10" fillId="0" fontId="29" numFmtId="0" xfId="0" applyAlignment="1" applyBorder="1" applyFont="1">
      <alignment horizontal="left" vertical="top"/>
    </xf>
    <xf borderId="10" fillId="0" fontId="27" numFmtId="0" xfId="0" applyAlignment="1" applyBorder="1" applyFont="1">
      <alignment horizontal="center"/>
    </xf>
    <xf borderId="10" fillId="4" fontId="30" numFmtId="0" xfId="0" applyAlignment="1" applyBorder="1" applyFill="1" applyFont="1">
      <alignment horizontal="center" readingOrder="0" vertical="top"/>
    </xf>
    <xf borderId="10" fillId="2" fontId="30" numFmtId="0" xfId="0" applyAlignment="1" applyBorder="1" applyFill="1" applyFont="1">
      <alignment horizontal="center" readingOrder="0" vertical="top"/>
    </xf>
    <xf borderId="18" fillId="0" fontId="31" numFmtId="0" xfId="0" applyAlignment="1" applyBorder="1" applyFont="1">
      <alignment horizontal="center" readingOrder="0" vertical="center"/>
    </xf>
    <xf borderId="19" fillId="0" fontId="4" numFmtId="0" xfId="0" applyBorder="1" applyFont="1"/>
    <xf borderId="20" fillId="0" fontId="32" numFmtId="0" xfId="0" applyAlignment="1" applyBorder="1" applyFont="1">
      <alignment horizontal="center" vertical="center"/>
    </xf>
    <xf borderId="16" fillId="0" fontId="4" numFmtId="0" xfId="0" applyBorder="1" applyFont="1"/>
    <xf borderId="10" fillId="0" fontId="30" numFmtId="0" xfId="0" applyAlignment="1" applyBorder="1" applyFont="1">
      <alignment horizontal="center" readingOrder="0" vertical="top"/>
    </xf>
    <xf borderId="10" fillId="0" fontId="33" numFmtId="0" xfId="0" applyAlignment="1" applyBorder="1" applyFont="1">
      <alignment horizontal="center" readingOrder="0" vertical="top"/>
    </xf>
    <xf borderId="0" fillId="0" fontId="24" numFmtId="0" xfId="0" applyAlignment="1" applyFont="1">
      <alignment readingOrder="0"/>
    </xf>
    <xf borderId="0" fillId="0" fontId="34" numFmtId="0" xfId="0" applyAlignment="1" applyFont="1">
      <alignment readingOrder="0"/>
    </xf>
    <xf borderId="2" fillId="0" fontId="3" numFmtId="0" xfId="0" applyAlignment="1" applyBorder="1" applyFont="1">
      <alignment horizontal="center"/>
    </xf>
    <xf borderId="3" fillId="0" fontId="3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4" fillId="0" fontId="35" numFmtId="0" xfId="0" applyAlignment="1" applyBorder="1" applyFont="1">
      <alignment horizontal="center" shrinkToFit="0" wrapText="1"/>
    </xf>
    <xf borderId="9" fillId="2" fontId="36" numFmtId="0" xfId="0" applyAlignment="1" applyBorder="1" applyFill="1" applyFont="1">
      <alignment horizontal="center" vertical="bottom"/>
    </xf>
    <xf borderId="16" fillId="3" fontId="37" numFmtId="0" xfId="0" applyAlignment="1" applyBorder="1" applyFill="1" applyFont="1">
      <alignment readingOrder="0"/>
    </xf>
    <xf borderId="10" fillId="0" fontId="38" numFmtId="0" xfId="0" applyAlignment="1" applyBorder="1" applyFont="1">
      <alignment horizontal="center" vertical="bottom"/>
    </xf>
    <xf borderId="4" fillId="0" fontId="38" numFmtId="0" xfId="0" applyAlignment="1" applyBorder="1" applyFont="1">
      <alignment horizontal="center" vertical="bottom"/>
    </xf>
    <xf quotePrefix="1" borderId="4" fillId="2" fontId="1" numFmtId="0" xfId="0" applyAlignment="1" applyBorder="1" applyFill="1" applyFont="1">
      <alignment readingOrder="0" vertical="bottom"/>
    </xf>
    <xf borderId="4" fillId="2" fontId="1" numFmtId="0" xfId="0" applyAlignment="1" applyBorder="1" applyFill="1" applyFont="1">
      <alignment readingOrder="0" vertical="bottom"/>
    </xf>
    <xf borderId="4" fillId="2" fontId="1" numFmtId="0" xfId="0" applyAlignment="1" applyBorder="1" applyFill="1" applyFont="1">
      <alignment vertical="bottom"/>
    </xf>
    <xf borderId="9" fillId="4" fontId="36" numFmtId="0" xfId="0" applyAlignment="1" applyBorder="1" applyFill="1" applyFont="1">
      <alignment horizontal="center" vertical="bottom"/>
    </xf>
    <xf borderId="16" fillId="3" fontId="37" numFmtId="0" xfId="0" applyAlignment="1" applyBorder="1" applyFill="1" applyFont="1">
      <alignment readingOrder="0"/>
    </xf>
    <xf borderId="0" fillId="2" fontId="1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419100</xdr:colOff>
      <xdr:row>0</xdr:row>
      <xdr:rowOff>104775</xdr:rowOff>
    </xdr:from>
    <xdr:ext cx="495300" cy="581025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914400</xdr:colOff>
      <xdr:row>0</xdr:row>
      <xdr:rowOff>104775</xdr:rowOff>
    </xdr:from>
    <xdr:ext cx="619125" cy="581025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419100</xdr:colOff>
      <xdr:row>0</xdr:row>
      <xdr:rowOff>104775</xdr:rowOff>
    </xdr:from>
    <xdr:ext cx="495300" cy="581025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914400</xdr:colOff>
      <xdr:row>0</xdr:row>
      <xdr:rowOff>104775</xdr:rowOff>
    </xdr:from>
    <xdr:ext cx="619125" cy="581025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419100</xdr:colOff>
      <xdr:row>0</xdr:row>
      <xdr:rowOff>104775</xdr:rowOff>
    </xdr:from>
    <xdr:ext cx="495300" cy="581025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914400</xdr:colOff>
      <xdr:row>0</xdr:row>
      <xdr:rowOff>104775</xdr:rowOff>
    </xdr:from>
    <xdr:ext cx="619125" cy="581025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3NJ3JdgSj85TF0tuY6mW6Hv4EIthzNRi/view?usp=drive_link" TargetMode="External"/><Relationship Id="rId22" Type="http://schemas.openxmlformats.org/officeDocument/2006/relationships/hyperlink" Target="https://drive.google.com/file/d/1QWanNQT3VvouHnpdq9i0at59PfCUKd2n/view?usp=drive_link" TargetMode="External"/><Relationship Id="rId21" Type="http://schemas.openxmlformats.org/officeDocument/2006/relationships/hyperlink" Target="https://drive.google.com/file/d/14A5ENf3svDDSDBJdnZy-UQ2M70HS3xcc/view?usp=drive_link" TargetMode="External"/><Relationship Id="rId24" Type="http://schemas.openxmlformats.org/officeDocument/2006/relationships/hyperlink" Target="https://drive.google.com/file/d/1A2s2jGtYwgx87HMLZIqb0n4x5ZjTPAR3/view?usp=drive_link" TargetMode="External"/><Relationship Id="rId23" Type="http://schemas.openxmlformats.org/officeDocument/2006/relationships/hyperlink" Target="https://drive.google.com/file/d/1NM_AeDEmW_8r9j7k0nI3ndqXO-X97TMB/view?usp=drive_link" TargetMode="External"/><Relationship Id="rId1" Type="http://schemas.openxmlformats.org/officeDocument/2006/relationships/hyperlink" Target="https://drive.google.com/file/d/1q4kxKn77E1PuXPZOzEQO9N4wZxFHMXWK/view?usp=drive_link" TargetMode="External"/><Relationship Id="rId2" Type="http://schemas.openxmlformats.org/officeDocument/2006/relationships/hyperlink" Target="https://drive.google.com/file/d/1VkjyXbWlWsLqt8wuwdy7gP1Hq4Y-vMns/view?usp=drive_link" TargetMode="External"/><Relationship Id="rId3" Type="http://schemas.openxmlformats.org/officeDocument/2006/relationships/hyperlink" Target="https://drive.google.com/file/d/1c5SFw2W5xJZrb0yyQjAwyiM8rGNdAnde/view?usp=drive_link" TargetMode="External"/><Relationship Id="rId4" Type="http://schemas.openxmlformats.org/officeDocument/2006/relationships/hyperlink" Target="https://drive.google.com/file/d/1FGZO8BClyTgRniOYIE3TQSanOEaUs0A9/view?usp=drive_link" TargetMode="External"/><Relationship Id="rId9" Type="http://schemas.openxmlformats.org/officeDocument/2006/relationships/hyperlink" Target="https://drive.google.com/file/d/10BsmbTnbsEYHN1x9atfLvA2GPlRytqNl/view?usp=drive_link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drive.google.com/file/d/1f5JX8MH918DI-1sQXWnA9R4Eusjb-oBu/view?usp=drive_link" TargetMode="External"/><Relationship Id="rId6" Type="http://schemas.openxmlformats.org/officeDocument/2006/relationships/hyperlink" Target="https://drive.google.com/file/d/1dQCxMZd2ukbOsCkY42l8-lEfbkvx9Mzc/view?usp=drive_link" TargetMode="External"/><Relationship Id="rId7" Type="http://schemas.openxmlformats.org/officeDocument/2006/relationships/hyperlink" Target="https://drive.google.com/file/d/1GuFJd7KgoY9mm6JTitSj3Vg76rKMmung/view?usp=drive_link" TargetMode="External"/><Relationship Id="rId8" Type="http://schemas.openxmlformats.org/officeDocument/2006/relationships/hyperlink" Target="https://drive.google.com/file/d/13N3NK2bNAEVKaMJfCm4EiNMKzOJTNj9U/view?usp=drive_link" TargetMode="External"/><Relationship Id="rId11" Type="http://schemas.openxmlformats.org/officeDocument/2006/relationships/hyperlink" Target="https://drive.google.com/file/d/1c35f0hCzAIP73X5DJqPUm2PT4SojoydK/view?usp=drive_link" TargetMode="External"/><Relationship Id="rId10" Type="http://schemas.openxmlformats.org/officeDocument/2006/relationships/hyperlink" Target="https://drive.google.com/file/d/1K_EGXoyRA1FAvyVuedWb22rBGZGB6hos/view?usp=drive_link" TargetMode="External"/><Relationship Id="rId13" Type="http://schemas.openxmlformats.org/officeDocument/2006/relationships/hyperlink" Target="https://drive.google.com/file/d/1ag6GPTxp-gDxzD0mMUOiA83YjgeXRZ12/view?usp=drive_link" TargetMode="External"/><Relationship Id="rId12" Type="http://schemas.openxmlformats.org/officeDocument/2006/relationships/hyperlink" Target="https://drive.google.com/file/d/11J8NOzPLnLe0r2kjNtaU7pKn78yorVQ_/view?usp=drive_link" TargetMode="External"/><Relationship Id="rId15" Type="http://schemas.openxmlformats.org/officeDocument/2006/relationships/hyperlink" Target="https://drive.google.com/file/d/19CJIMrjAuob3MizPa5rthChAha8PJBq3/view?usp=drive_link" TargetMode="External"/><Relationship Id="rId14" Type="http://schemas.openxmlformats.org/officeDocument/2006/relationships/hyperlink" Target="https://drive.google.com/file/d/1ewiy7A_adFjpgemm-eeD0DZbvXd8b1YV/view?usp=drive_link" TargetMode="External"/><Relationship Id="rId17" Type="http://schemas.openxmlformats.org/officeDocument/2006/relationships/hyperlink" Target="https://drive.google.com/file/d/1UB6cuBkah89iEHw_ECmSlrfJRUpWgEIo/view?usp=drive_link" TargetMode="External"/><Relationship Id="rId16" Type="http://schemas.openxmlformats.org/officeDocument/2006/relationships/hyperlink" Target="https://drive.google.com/file/d/15nZornokaCp4bR4kjLujZbHN7y_JI5OL/view?usp=drive_link" TargetMode="External"/><Relationship Id="rId19" Type="http://schemas.openxmlformats.org/officeDocument/2006/relationships/hyperlink" Target="https://drive.google.com/file/d/1ztd92RTG_WbjsP17QhvNZkp64ADItAvY/view?usp=drive_link" TargetMode="External"/><Relationship Id="rId18" Type="http://schemas.openxmlformats.org/officeDocument/2006/relationships/hyperlink" Target="https://drive.google.com/file/d/1ZBuO8r94M2zVISlB58Axjum5SCbrzvTS/view?usp=drive_link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3NJ3JdgSj85TF0tuY6mW6Hv4EIthzNRi/view?usp=drive_link" TargetMode="External"/><Relationship Id="rId22" Type="http://schemas.openxmlformats.org/officeDocument/2006/relationships/hyperlink" Target="https://drive.google.com/file/d/1QWanNQT3VvouHnpdq9i0at59PfCUKd2n/view?usp=drive_link" TargetMode="External"/><Relationship Id="rId21" Type="http://schemas.openxmlformats.org/officeDocument/2006/relationships/hyperlink" Target="https://drive.google.com/file/d/14A5ENf3svDDSDBJdnZy-UQ2M70HS3xcc/view?usp=drive_link" TargetMode="External"/><Relationship Id="rId24" Type="http://schemas.openxmlformats.org/officeDocument/2006/relationships/hyperlink" Target="https://drive.google.com/file/d/1A2s2jGtYwgx87HMLZIqb0n4x5ZjTPAR3/view?usp=drive_link" TargetMode="External"/><Relationship Id="rId23" Type="http://schemas.openxmlformats.org/officeDocument/2006/relationships/hyperlink" Target="https://drive.google.com/file/d/1NM_AeDEmW_8r9j7k0nI3ndqXO-X97TMB/view?usp=drive_link" TargetMode="External"/><Relationship Id="rId1" Type="http://schemas.openxmlformats.org/officeDocument/2006/relationships/hyperlink" Target="https://drive.google.com/file/d/1q4kxKn77E1PuXPZOzEQO9N4wZxFHMXWK/view?usp=drive_link" TargetMode="External"/><Relationship Id="rId2" Type="http://schemas.openxmlformats.org/officeDocument/2006/relationships/hyperlink" Target="https://drive.google.com/file/d/1VkjyXbWlWsLqt8wuwdy7gP1Hq4Y-vMns/view?usp=drive_link" TargetMode="External"/><Relationship Id="rId3" Type="http://schemas.openxmlformats.org/officeDocument/2006/relationships/hyperlink" Target="https://drive.google.com/file/d/1c5SFw2W5xJZrb0yyQjAwyiM8rGNdAnde/view?usp=drive_link" TargetMode="External"/><Relationship Id="rId4" Type="http://schemas.openxmlformats.org/officeDocument/2006/relationships/hyperlink" Target="https://drive.google.com/file/d/1FGZO8BClyTgRniOYIE3TQSanOEaUs0A9/view?usp=drive_link" TargetMode="External"/><Relationship Id="rId9" Type="http://schemas.openxmlformats.org/officeDocument/2006/relationships/hyperlink" Target="https://drive.google.com/file/d/10BsmbTnbsEYHN1x9atfLvA2GPlRytqNl/view?usp=drive_link" TargetMode="External"/><Relationship Id="rId25" Type="http://schemas.openxmlformats.org/officeDocument/2006/relationships/drawing" Target="../drawings/drawing2.xml"/><Relationship Id="rId5" Type="http://schemas.openxmlformats.org/officeDocument/2006/relationships/hyperlink" Target="https://drive.google.com/file/d/1f5JX8MH918DI-1sQXWnA9R4Eusjb-oBu/view?usp=drive_link" TargetMode="External"/><Relationship Id="rId6" Type="http://schemas.openxmlformats.org/officeDocument/2006/relationships/hyperlink" Target="https://drive.google.com/file/d/1f5JX8MH918DI-1sQXWnA9R4Eusjb-oBu/view?usp=drive_link" TargetMode="External"/><Relationship Id="rId7" Type="http://schemas.openxmlformats.org/officeDocument/2006/relationships/hyperlink" Target="https://drive.google.com/file/d/1GuFJd7KgoY9mm6JTitSj3Vg76rKMmung/view?usp=drive_link" TargetMode="External"/><Relationship Id="rId8" Type="http://schemas.openxmlformats.org/officeDocument/2006/relationships/hyperlink" Target="https://drive.google.com/file/d/13N3NK2bNAEVKaMJfCm4EiNMKzOJTNj9U/view?usp=drive_link" TargetMode="External"/><Relationship Id="rId11" Type="http://schemas.openxmlformats.org/officeDocument/2006/relationships/hyperlink" Target="https://drive.google.com/file/d/1c35f0hCzAIP73X5DJqPUm2PT4SojoydK/view?usp=drive_link" TargetMode="External"/><Relationship Id="rId10" Type="http://schemas.openxmlformats.org/officeDocument/2006/relationships/hyperlink" Target="https://drive.google.com/file/d/1K_EGXoyRA1FAvyVuedWb22rBGZGB6hos/view?usp=drive_link" TargetMode="External"/><Relationship Id="rId13" Type="http://schemas.openxmlformats.org/officeDocument/2006/relationships/hyperlink" Target="https://drive.google.com/file/d/1ag6GPTxp-gDxzD0mMUOiA83YjgeXRZ12/view?usp=drive_link" TargetMode="External"/><Relationship Id="rId12" Type="http://schemas.openxmlformats.org/officeDocument/2006/relationships/hyperlink" Target="https://drive.google.com/file/d/11J8NOzPLnLe0r2kjNtaU7pKn78yorVQ_/view?usp=drive_link" TargetMode="External"/><Relationship Id="rId15" Type="http://schemas.openxmlformats.org/officeDocument/2006/relationships/hyperlink" Target="https://drive.google.com/file/d/19CJIMrjAuob3MizPa5rthChAha8PJBq3/view?usp=drive_link" TargetMode="External"/><Relationship Id="rId14" Type="http://schemas.openxmlformats.org/officeDocument/2006/relationships/hyperlink" Target="https://drive.google.com/file/d/1ewiy7A_adFjpgemm-eeD0DZbvXd8b1YV/view?usp=drive_link" TargetMode="External"/><Relationship Id="rId17" Type="http://schemas.openxmlformats.org/officeDocument/2006/relationships/hyperlink" Target="https://drive.google.com/file/d/1UB6cuBkah89iEHw_ECmSlrfJRUpWgEIo/view?usp=drive_link" TargetMode="External"/><Relationship Id="rId16" Type="http://schemas.openxmlformats.org/officeDocument/2006/relationships/hyperlink" Target="https://drive.google.com/file/d/15nZornokaCp4bR4kjLujZbHN7y_JI5OL/view?usp=drive_link" TargetMode="External"/><Relationship Id="rId19" Type="http://schemas.openxmlformats.org/officeDocument/2006/relationships/hyperlink" Target="https://drive.google.com/file/d/1ztd92RTG_WbjsP17QhvNZkp64ADItAvY/view?usp=drive_link" TargetMode="External"/><Relationship Id="rId18" Type="http://schemas.openxmlformats.org/officeDocument/2006/relationships/hyperlink" Target="https://drive.google.com/file/d/1ZBuO8r94M2zVISlB58Axjum5SCbrzvTS/view?usp=drive_lin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atastudio.google.com/u/0/reporting/7bca543e-66c2-4751-b9e1-912467fef4be/page/kitLF" TargetMode="External"/><Relationship Id="rId2" Type="http://schemas.openxmlformats.org/officeDocument/2006/relationships/hyperlink" Target="https://drive.google.com/file/d/1q4kxKn77E1PuXPZOzEQO9N4wZxFHMXWK/view?usp=drive_link" TargetMode="External"/><Relationship Id="rId3" Type="http://schemas.openxmlformats.org/officeDocument/2006/relationships/hyperlink" Target="https://drive.google.com/file/d/1f5JX8MH918DI-1sQXWnA9R4Eusjb-oBu/view?usp=drive_link" TargetMode="External"/><Relationship Id="rId4" Type="http://schemas.openxmlformats.org/officeDocument/2006/relationships/hyperlink" Target="https://drive.google.com/file/d/11J8NOzPLnLe0r2kjNtaU7pKn78yorVQ_/view?usp=drive_link" TargetMode="External"/><Relationship Id="rId9" Type="http://schemas.openxmlformats.org/officeDocument/2006/relationships/hyperlink" Target="https://drive.google.com/file/d/1A2s2jGtYwgx87HMLZIqb0n4x5ZjTPAR3/view?usp=drive_link" TargetMode="External"/><Relationship Id="rId5" Type="http://schemas.openxmlformats.org/officeDocument/2006/relationships/hyperlink" Target="https://drive.google.com/file/d/1UB6cuBkah89iEHw_ECmSlrfJRUpWgEIo/view?usp=drive_link" TargetMode="External"/><Relationship Id="rId6" Type="http://schemas.openxmlformats.org/officeDocument/2006/relationships/hyperlink" Target="https://drive.google.com/file/d/1ztd92RTG_WbjsP17QhvNZkp64ADItAvY/view?usp=drive_link" TargetMode="External"/><Relationship Id="rId7" Type="http://schemas.openxmlformats.org/officeDocument/2006/relationships/hyperlink" Target="https://drive.google.com/file/d/1QWanNQT3VvouHnpdq9i0at59PfCUKd2n/view?usp=drive_link" TargetMode="External"/><Relationship Id="rId8" Type="http://schemas.openxmlformats.org/officeDocument/2006/relationships/hyperlink" Target="https://drive.google.com/file/d/1NM_AeDEmW_8r9j7k0nI3ndqXO-X97TMB/view?usp=drive_link" TargetMode="External"/><Relationship Id="rId10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6.75"/>
    <col customWidth="1" min="3" max="3" width="13.63"/>
    <col customWidth="1" min="4" max="4" width="7.38"/>
    <col customWidth="1" min="5" max="5" width="16.5"/>
    <col customWidth="1" min="6" max="6" width="16.0"/>
    <col customWidth="1" min="7" max="7" width="15.88"/>
    <col customWidth="1" min="12" max="12" width="37.5"/>
    <col customWidth="1" min="15" max="15" width="30.75"/>
    <col customWidth="1" min="16" max="16" width="13.0"/>
  </cols>
  <sheetData>
    <row r="1">
      <c r="A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2" t="s">
        <v>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1"/>
      <c r="C3" s="1"/>
      <c r="D3" s="1"/>
      <c r="E3" s="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5" t="s">
        <v>1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5" t="s">
        <v>3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6"/>
      <c r="B6" s="6"/>
      <c r="C6" s="6"/>
      <c r="D6" s="6"/>
      <c r="E6" s="7"/>
      <c r="F6" s="6"/>
      <c r="G6" s="6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9" t="s">
        <v>6</v>
      </c>
      <c r="B7" s="10" t="s">
        <v>7</v>
      </c>
      <c r="C7" s="11" t="s">
        <v>8</v>
      </c>
      <c r="D7" s="10" t="s">
        <v>9</v>
      </c>
      <c r="E7" s="12" t="s">
        <v>10</v>
      </c>
      <c r="F7" s="14"/>
      <c r="G7" s="15"/>
      <c r="H7" s="17"/>
      <c r="I7" s="1"/>
      <c r="J7" s="1"/>
      <c r="K7" s="1"/>
      <c r="L7" s="20"/>
      <c r="M7" s="20"/>
      <c r="N7" s="21"/>
      <c r="O7" s="21"/>
      <c r="P7" s="21"/>
      <c r="Q7" s="21" t="s">
        <v>11</v>
      </c>
      <c r="R7" s="2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22"/>
      <c r="B8" s="15"/>
      <c r="C8" s="15"/>
      <c r="D8" s="15"/>
      <c r="E8" s="23" t="s">
        <v>12</v>
      </c>
      <c r="F8" s="26" t="s">
        <v>13</v>
      </c>
      <c r="G8" s="29" t="s">
        <v>16</v>
      </c>
      <c r="H8" s="38" t="s">
        <v>18</v>
      </c>
      <c r="I8" s="1"/>
      <c r="J8" s="1"/>
      <c r="K8" s="3"/>
      <c r="L8" s="28"/>
      <c r="M8" s="31"/>
      <c r="N8" s="35"/>
      <c r="O8" s="37"/>
      <c r="P8" s="31"/>
      <c r="Q8" s="31" t="s">
        <v>11</v>
      </c>
      <c r="R8" s="31" t="s">
        <v>11</v>
      </c>
      <c r="S8" s="31" t="s">
        <v>11</v>
      </c>
      <c r="T8" s="31"/>
      <c r="U8" s="1"/>
      <c r="V8" s="1"/>
      <c r="W8" s="1"/>
      <c r="X8" s="1"/>
      <c r="Y8" s="1"/>
      <c r="Z8" s="1"/>
      <c r="AA8" s="1"/>
      <c r="AB8" s="1"/>
    </row>
    <row r="9">
      <c r="A9" s="39">
        <v>1.0</v>
      </c>
      <c r="B9" s="42" t="s">
        <v>20</v>
      </c>
      <c r="C9" s="40">
        <v>1.60428050504E11</v>
      </c>
      <c r="D9" s="43" t="s">
        <v>21</v>
      </c>
      <c r="E9" s="60" t="s">
        <v>24</v>
      </c>
      <c r="F9" s="61"/>
      <c r="G9" s="62"/>
      <c r="H9" s="66"/>
      <c r="I9" s="21"/>
      <c r="J9" s="21"/>
      <c r="K9" s="49"/>
      <c r="L9" s="21"/>
      <c r="M9" s="21"/>
      <c r="N9" s="21"/>
      <c r="O9" s="21"/>
      <c r="P9" s="21"/>
      <c r="Q9" s="50"/>
      <c r="R9" s="31"/>
      <c r="S9" s="31"/>
      <c r="T9" s="31"/>
      <c r="U9" s="1"/>
      <c r="V9" s="1"/>
      <c r="W9" s="1"/>
      <c r="X9" s="1"/>
      <c r="Y9" s="1"/>
      <c r="Z9" s="1"/>
      <c r="AA9" s="1"/>
      <c r="AB9" s="1"/>
    </row>
    <row r="10">
      <c r="A10" s="52">
        <v>2.0</v>
      </c>
      <c r="B10" s="42" t="s">
        <v>26</v>
      </c>
      <c r="C10" s="40">
        <v>1.61212050251E11</v>
      </c>
      <c r="D10" s="43" t="s">
        <v>21</v>
      </c>
      <c r="E10" s="72" t="s">
        <v>36</v>
      </c>
      <c r="F10" s="73" t="s">
        <v>42</v>
      </c>
      <c r="G10" s="74" t="s">
        <v>44</v>
      </c>
      <c r="H10" s="66"/>
      <c r="I10" s="31"/>
      <c r="J10" s="31"/>
      <c r="K10" s="31"/>
      <c r="L10" s="58"/>
      <c r="M10" s="31"/>
      <c r="N10" s="31"/>
      <c r="O10" s="31"/>
      <c r="P10" s="31"/>
      <c r="Q10" s="31"/>
      <c r="R10" s="59"/>
      <c r="S10" s="31"/>
      <c r="T10" s="31"/>
      <c r="U10" s="1"/>
      <c r="V10" s="1"/>
      <c r="W10" s="1"/>
      <c r="X10" s="1"/>
      <c r="Y10" s="1"/>
      <c r="Z10" s="1"/>
      <c r="AA10" s="1"/>
      <c r="AB10" s="1"/>
    </row>
    <row r="11">
      <c r="A11" s="39">
        <v>3.0</v>
      </c>
      <c r="B11" s="42" t="s">
        <v>28</v>
      </c>
      <c r="C11" s="40">
        <v>1.61229140851E11</v>
      </c>
      <c r="D11" s="43" t="s">
        <v>29</v>
      </c>
      <c r="E11" s="60" t="s">
        <v>48</v>
      </c>
      <c r="F11" s="61"/>
      <c r="G11" s="62"/>
      <c r="H11" s="66"/>
      <c r="I11" s="31"/>
      <c r="J11" s="31"/>
      <c r="K11" s="31"/>
      <c r="L11" s="58"/>
      <c r="M11" s="31"/>
      <c r="N11" s="31"/>
      <c r="O11" s="31"/>
      <c r="P11" s="31"/>
      <c r="Q11" s="31"/>
      <c r="R11" s="59"/>
      <c r="S11" s="31"/>
      <c r="T11" s="31"/>
      <c r="U11" s="1"/>
      <c r="V11" s="1"/>
      <c r="W11" s="1"/>
      <c r="X11" s="1"/>
      <c r="Y11" s="1"/>
      <c r="Z11" s="1"/>
      <c r="AA11" s="1"/>
      <c r="AB11" s="1"/>
    </row>
    <row r="12">
      <c r="A12" s="39">
        <v>4.0</v>
      </c>
      <c r="B12" s="42" t="s">
        <v>30</v>
      </c>
      <c r="C12" s="40">
        <v>1.612291408E11</v>
      </c>
      <c r="D12" s="63" t="s">
        <v>29</v>
      </c>
      <c r="E12" s="72" t="s">
        <v>59</v>
      </c>
      <c r="F12" s="80"/>
      <c r="G12" s="81"/>
      <c r="H12" s="66"/>
      <c r="I12" s="31"/>
      <c r="J12" s="31"/>
      <c r="K12" s="31"/>
      <c r="L12" s="58"/>
      <c r="M12" s="31"/>
      <c r="N12" s="31"/>
      <c r="O12" s="31"/>
      <c r="P12" s="31"/>
      <c r="Q12" s="31"/>
      <c r="R12" s="59"/>
      <c r="S12" s="31"/>
      <c r="T12" s="31"/>
      <c r="U12" s="1"/>
      <c r="V12" s="1"/>
      <c r="W12" s="1"/>
      <c r="X12" s="1"/>
      <c r="Y12" s="1"/>
      <c r="Z12" s="1"/>
      <c r="AA12" s="1"/>
      <c r="AB12" s="1"/>
    </row>
    <row r="13">
      <c r="A13" s="52">
        <v>5.0</v>
      </c>
      <c r="B13" s="42" t="s">
        <v>31</v>
      </c>
      <c r="C13" s="40">
        <v>1.60925040198E11</v>
      </c>
      <c r="D13" s="43" t="s">
        <v>21</v>
      </c>
      <c r="E13" s="60" t="s">
        <v>41</v>
      </c>
      <c r="F13" s="61"/>
      <c r="G13" s="62"/>
      <c r="H13" s="66"/>
      <c r="I13" s="31"/>
      <c r="J13" s="31"/>
      <c r="K13" s="31"/>
      <c r="L13" s="58"/>
      <c r="M13" s="31"/>
      <c r="N13" s="31"/>
      <c r="O13" s="31"/>
      <c r="P13" s="31"/>
      <c r="Q13" s="31"/>
      <c r="R13" s="59"/>
      <c r="S13" s="31"/>
      <c r="T13" s="31"/>
      <c r="U13" s="1"/>
      <c r="V13" s="1"/>
      <c r="W13" s="1"/>
      <c r="X13" s="1"/>
      <c r="Y13" s="1"/>
      <c r="Z13" s="1"/>
      <c r="AA13" s="1"/>
      <c r="AB13" s="1"/>
    </row>
    <row r="14">
      <c r="A14" s="39">
        <v>6.0</v>
      </c>
      <c r="B14" s="42" t="s">
        <v>32</v>
      </c>
      <c r="C14" s="40">
        <v>1.60124050206E11</v>
      </c>
      <c r="D14" s="43" t="s">
        <v>21</v>
      </c>
      <c r="E14" s="107" t="s">
        <v>66</v>
      </c>
      <c r="F14" s="80"/>
      <c r="G14" s="81"/>
      <c r="H14" s="66"/>
      <c r="I14" s="31"/>
      <c r="J14" s="31"/>
      <c r="K14" s="31"/>
      <c r="L14" s="58"/>
      <c r="M14" s="31"/>
      <c r="N14" s="31"/>
      <c r="O14" s="31"/>
      <c r="P14" s="31"/>
      <c r="Q14" s="31"/>
      <c r="R14" s="59"/>
      <c r="S14" s="31"/>
      <c r="T14" s="31"/>
      <c r="U14" s="1"/>
      <c r="V14" s="1"/>
      <c r="W14" s="1"/>
      <c r="X14" s="1"/>
      <c r="Y14" s="1"/>
      <c r="Z14" s="1"/>
      <c r="AA14" s="1"/>
      <c r="AB14" s="1"/>
    </row>
    <row r="15">
      <c r="A15" s="52">
        <v>7.0</v>
      </c>
      <c r="B15" s="42" t="s">
        <v>35</v>
      </c>
      <c r="C15" s="40">
        <v>1.60111050442E11</v>
      </c>
      <c r="D15" s="43" t="s">
        <v>21</v>
      </c>
      <c r="E15" s="60" t="s">
        <v>68</v>
      </c>
      <c r="F15" s="61"/>
      <c r="G15" s="62"/>
      <c r="H15" s="66"/>
      <c r="I15" s="31"/>
      <c r="J15" s="31"/>
      <c r="K15" s="31"/>
      <c r="L15" s="58"/>
      <c r="M15" s="31"/>
      <c r="N15" s="31"/>
      <c r="O15" s="31"/>
      <c r="P15" s="31"/>
      <c r="Q15" s="31"/>
      <c r="R15" s="59"/>
      <c r="S15" s="31"/>
      <c r="T15" s="31"/>
      <c r="U15" s="1"/>
      <c r="V15" s="1"/>
      <c r="W15" s="1"/>
      <c r="X15" s="1"/>
      <c r="Y15" s="1"/>
      <c r="Z15" s="1"/>
      <c r="AA15" s="1"/>
      <c r="AB15" s="1"/>
    </row>
    <row r="16">
      <c r="A16" s="39">
        <v>8.0</v>
      </c>
      <c r="B16" s="42" t="s">
        <v>37</v>
      </c>
      <c r="C16" s="40">
        <v>1.60228050171E11</v>
      </c>
      <c r="D16" s="43" t="s">
        <v>21</v>
      </c>
      <c r="E16" s="72" t="s">
        <v>71</v>
      </c>
      <c r="F16" s="80"/>
      <c r="G16" s="81"/>
      <c r="H16" s="66"/>
      <c r="I16" s="31"/>
      <c r="J16" s="31"/>
      <c r="K16" s="31"/>
      <c r="L16" s="58"/>
      <c r="M16" s="31"/>
      <c r="N16" s="31"/>
      <c r="O16" s="31"/>
      <c r="P16" s="31"/>
      <c r="Q16" s="31"/>
      <c r="R16" s="59"/>
      <c r="S16" s="31"/>
      <c r="T16" s="31"/>
      <c r="U16" s="1"/>
      <c r="V16" s="1"/>
      <c r="W16" s="1"/>
      <c r="X16" s="1"/>
      <c r="Y16" s="1"/>
      <c r="Z16" s="1"/>
      <c r="AA16" s="1"/>
      <c r="AB16" s="1"/>
    </row>
    <row r="17">
      <c r="A17" s="52">
        <v>9.0</v>
      </c>
      <c r="B17" s="42" t="s">
        <v>38</v>
      </c>
      <c r="C17" s="40">
        <v>1.60421102316E11</v>
      </c>
      <c r="D17" s="43" t="s">
        <v>29</v>
      </c>
      <c r="E17" s="60" t="s">
        <v>74</v>
      </c>
      <c r="F17" s="61"/>
      <c r="G17" s="62"/>
      <c r="H17" s="66"/>
      <c r="I17" s="31"/>
      <c r="J17" s="31"/>
      <c r="K17" s="31"/>
      <c r="L17" s="58"/>
      <c r="M17" s="31"/>
      <c r="N17" s="31"/>
      <c r="O17" s="31"/>
      <c r="P17" s="31"/>
      <c r="Q17" s="31"/>
      <c r="R17" s="59"/>
      <c r="S17" s="70"/>
      <c r="T17" s="31"/>
      <c r="U17" s="1"/>
      <c r="V17" s="1"/>
      <c r="W17" s="1"/>
      <c r="X17" s="1"/>
      <c r="Y17" s="1"/>
      <c r="Z17" s="1"/>
      <c r="AA17" s="1"/>
      <c r="AB17" s="1"/>
    </row>
    <row r="18">
      <c r="A18" s="39">
        <v>10.0</v>
      </c>
      <c r="B18" s="42" t="s">
        <v>39</v>
      </c>
      <c r="C18" s="40">
        <v>1.61122050469E11</v>
      </c>
      <c r="D18" s="43" t="s">
        <v>21</v>
      </c>
      <c r="E18" s="72" t="s">
        <v>78</v>
      </c>
      <c r="F18" s="80"/>
      <c r="G18" s="81"/>
      <c r="H18" s="66"/>
      <c r="I18" s="31"/>
      <c r="J18" s="31"/>
      <c r="K18" s="31"/>
      <c r="L18" s="58"/>
      <c r="M18" s="31"/>
      <c r="N18" s="31"/>
      <c r="O18" s="31"/>
      <c r="P18" s="31"/>
      <c r="Q18" s="31"/>
      <c r="R18" s="59"/>
      <c r="S18" s="31"/>
      <c r="T18" s="31"/>
      <c r="U18" s="1"/>
      <c r="V18" s="1"/>
      <c r="W18" s="1"/>
      <c r="X18" s="1"/>
      <c r="Y18" s="1"/>
      <c r="Z18" s="1"/>
      <c r="AA18" s="1"/>
      <c r="AB18" s="1"/>
    </row>
    <row r="19">
      <c r="A19" s="52">
        <v>11.0</v>
      </c>
      <c r="B19" s="42" t="s">
        <v>40</v>
      </c>
      <c r="C19" s="40">
        <v>1.60316050104E11</v>
      </c>
      <c r="D19" s="43" t="s">
        <v>29</v>
      </c>
      <c r="E19" s="60" t="s">
        <v>80</v>
      </c>
      <c r="F19" s="61"/>
      <c r="G19" s="62"/>
      <c r="H19" s="66"/>
      <c r="I19" s="31"/>
      <c r="J19" s="31"/>
      <c r="K19" s="31"/>
      <c r="L19" s="58"/>
      <c r="M19" s="31"/>
      <c r="N19" s="31"/>
      <c r="O19" s="31"/>
      <c r="P19" s="31"/>
      <c r="Q19" s="31"/>
      <c r="R19" s="59"/>
      <c r="S19" s="31"/>
      <c r="T19" s="31"/>
      <c r="U19" s="1"/>
      <c r="V19" s="1"/>
      <c r="W19" s="1"/>
      <c r="X19" s="1"/>
      <c r="Y19" s="1"/>
      <c r="Z19" s="1"/>
      <c r="AA19" s="1"/>
      <c r="AB19" s="1"/>
    </row>
    <row r="20">
      <c r="A20" s="39">
        <v>12.0</v>
      </c>
      <c r="B20" s="42" t="s">
        <v>43</v>
      </c>
      <c r="C20" s="40">
        <v>1.60307050487E11</v>
      </c>
      <c r="D20" s="43" t="s">
        <v>21</v>
      </c>
      <c r="E20" s="72" t="s">
        <v>56</v>
      </c>
      <c r="F20" s="80"/>
      <c r="G20" s="81"/>
      <c r="H20" s="66"/>
      <c r="I20" s="31"/>
      <c r="J20" s="31"/>
      <c r="K20" s="31"/>
      <c r="L20" s="58"/>
      <c r="M20" s="31"/>
      <c r="N20" s="31"/>
      <c r="O20" s="31"/>
      <c r="P20" s="31"/>
      <c r="Q20" s="31"/>
      <c r="R20" s="59"/>
      <c r="S20" s="31"/>
      <c r="T20" s="31"/>
      <c r="U20" s="1"/>
      <c r="V20" s="1"/>
      <c r="W20" s="1"/>
      <c r="X20" s="1"/>
      <c r="Y20" s="1"/>
      <c r="Z20" s="1"/>
      <c r="AA20" s="1"/>
      <c r="AB20" s="1"/>
    </row>
    <row r="21">
      <c r="A21" s="52">
        <v>13.0</v>
      </c>
      <c r="B21" s="42" t="s">
        <v>45</v>
      </c>
      <c r="C21" s="40">
        <v>1.61204050163E11</v>
      </c>
      <c r="D21" s="43" t="s">
        <v>29</v>
      </c>
      <c r="E21" s="60" t="s">
        <v>84</v>
      </c>
      <c r="F21" s="61"/>
      <c r="G21" s="62"/>
      <c r="H21" s="66"/>
      <c r="I21" s="31"/>
      <c r="J21" s="31"/>
      <c r="K21" s="31"/>
      <c r="L21" s="58"/>
      <c r="M21" s="31"/>
      <c r="N21" s="31"/>
      <c r="O21" s="31"/>
      <c r="P21" s="31"/>
      <c r="Q21" s="31"/>
      <c r="R21" s="59"/>
      <c r="S21" s="31"/>
      <c r="T21" s="31"/>
      <c r="U21" s="1"/>
      <c r="V21" s="1"/>
      <c r="W21" s="1"/>
      <c r="X21" s="1"/>
      <c r="Y21" s="1"/>
      <c r="Z21" s="1"/>
      <c r="AA21" s="1"/>
      <c r="AB21" s="1"/>
    </row>
    <row r="22">
      <c r="A22" s="39">
        <v>14.0</v>
      </c>
      <c r="B22" s="42" t="s">
        <v>46</v>
      </c>
      <c r="C22" s="40">
        <v>1.60901050172E11</v>
      </c>
      <c r="D22" s="63" t="s">
        <v>29</v>
      </c>
      <c r="E22" s="72" t="s">
        <v>88</v>
      </c>
      <c r="F22" s="80"/>
      <c r="G22" s="81"/>
      <c r="H22" s="66"/>
      <c r="I22" s="31"/>
      <c r="J22" s="31"/>
      <c r="K22" s="31"/>
      <c r="L22" s="58"/>
      <c r="M22" s="31"/>
      <c r="N22" s="31"/>
      <c r="O22" s="31"/>
      <c r="P22" s="31"/>
      <c r="Q22" s="31"/>
      <c r="R22" s="59"/>
      <c r="S22" s="31"/>
      <c r="T22" s="31"/>
      <c r="U22" s="1"/>
      <c r="V22" s="1"/>
      <c r="W22" s="1"/>
      <c r="X22" s="1"/>
      <c r="Y22" s="1"/>
      <c r="Z22" s="1"/>
      <c r="AA22" s="1"/>
      <c r="AB22" s="1"/>
    </row>
    <row r="23">
      <c r="A23" s="52">
        <v>15.0</v>
      </c>
      <c r="B23" s="42" t="s">
        <v>47</v>
      </c>
      <c r="C23" s="40">
        <v>1.60127050623E11</v>
      </c>
      <c r="D23" s="63" t="s">
        <v>21</v>
      </c>
      <c r="E23" s="60" t="s">
        <v>90</v>
      </c>
      <c r="F23" s="61"/>
      <c r="G23" s="62"/>
      <c r="H23" s="66"/>
      <c r="I23" s="31"/>
      <c r="J23" s="31"/>
      <c r="K23" s="31"/>
      <c r="L23" s="58"/>
      <c r="M23" s="31"/>
      <c r="N23" s="31"/>
      <c r="O23" s="31"/>
      <c r="P23" s="31"/>
      <c r="Q23" s="31"/>
      <c r="R23" s="59"/>
      <c r="S23" s="31"/>
      <c r="T23" s="31"/>
      <c r="U23" s="1"/>
      <c r="V23" s="1"/>
      <c r="W23" s="1"/>
      <c r="X23" s="1"/>
      <c r="Y23" s="1"/>
      <c r="Z23" s="1"/>
      <c r="AA23" s="1"/>
      <c r="AB23" s="1"/>
    </row>
    <row r="24">
      <c r="A24" s="39">
        <v>16.0</v>
      </c>
      <c r="B24" s="42" t="s">
        <v>49</v>
      </c>
      <c r="C24" s="40">
        <v>1.60401160228E11</v>
      </c>
      <c r="D24" s="63" t="s">
        <v>29</v>
      </c>
      <c r="E24" s="72" t="s">
        <v>94</v>
      </c>
      <c r="F24" s="80"/>
      <c r="G24" s="81"/>
      <c r="H24" s="66"/>
      <c r="I24" s="31"/>
      <c r="J24" s="31"/>
      <c r="K24" s="31"/>
      <c r="L24" s="58"/>
      <c r="M24" s="31"/>
      <c r="N24" s="31"/>
      <c r="O24" s="31"/>
      <c r="P24" s="31"/>
      <c r="Q24" s="31"/>
      <c r="R24" s="59"/>
      <c r="S24" s="31"/>
      <c r="T24" s="31"/>
      <c r="U24" s="1"/>
      <c r="V24" s="1"/>
      <c r="W24" s="1"/>
      <c r="X24" s="1"/>
      <c r="Y24" s="1"/>
      <c r="Z24" s="1"/>
      <c r="AA24" s="1"/>
      <c r="AB24" s="1"/>
    </row>
    <row r="25">
      <c r="A25" s="52">
        <v>17.0</v>
      </c>
      <c r="B25" s="42" t="s">
        <v>52</v>
      </c>
      <c r="C25" s="40">
        <v>1.61102050541E11</v>
      </c>
      <c r="D25" s="63" t="s">
        <v>21</v>
      </c>
      <c r="E25" s="60" t="s">
        <v>64</v>
      </c>
      <c r="F25" s="61"/>
      <c r="G25" s="62"/>
      <c r="H25" s="66"/>
      <c r="I25" s="31"/>
      <c r="J25" s="31"/>
      <c r="K25" s="31"/>
      <c r="L25" s="58"/>
      <c r="M25" s="31"/>
      <c r="N25" s="31"/>
      <c r="O25" s="31"/>
      <c r="P25" s="31"/>
      <c r="Q25" s="31"/>
      <c r="R25" s="59"/>
      <c r="S25" s="31"/>
      <c r="T25" s="31"/>
      <c r="U25" s="1"/>
      <c r="V25" s="1"/>
      <c r="W25" s="1"/>
      <c r="X25" s="1"/>
      <c r="Y25" s="1"/>
      <c r="Z25" s="1"/>
      <c r="AA25" s="1"/>
      <c r="AB25" s="1"/>
    </row>
    <row r="26">
      <c r="A26" s="39">
        <v>18.0</v>
      </c>
      <c r="B26" s="42" t="s">
        <v>53</v>
      </c>
      <c r="C26" s="40">
        <v>1.6090301174E11</v>
      </c>
      <c r="D26" s="63" t="s">
        <v>29</v>
      </c>
      <c r="E26" s="72" t="s">
        <v>106</v>
      </c>
      <c r="F26" s="80"/>
      <c r="G26" s="81"/>
      <c r="H26" s="66"/>
      <c r="I26" s="31"/>
      <c r="J26" s="31"/>
      <c r="K26" s="31"/>
      <c r="L26" s="58"/>
      <c r="M26" s="31"/>
      <c r="N26" s="31"/>
      <c r="O26" s="31"/>
      <c r="P26" s="31"/>
      <c r="Q26" s="31"/>
      <c r="R26" s="59"/>
      <c r="S26" s="31"/>
      <c r="T26" s="31"/>
      <c r="U26" s="1"/>
      <c r="V26" s="1"/>
      <c r="W26" s="1"/>
      <c r="X26" s="1"/>
      <c r="Y26" s="1"/>
      <c r="Z26" s="1"/>
      <c r="AA26" s="1"/>
      <c r="AB26" s="1"/>
    </row>
    <row r="27">
      <c r="A27" s="52">
        <v>19.0</v>
      </c>
      <c r="B27" s="42" t="s">
        <v>54</v>
      </c>
      <c r="C27" s="40">
        <v>1.61028102509E11</v>
      </c>
      <c r="D27" s="63" t="s">
        <v>21</v>
      </c>
      <c r="E27" s="60" t="s">
        <v>67</v>
      </c>
      <c r="F27" s="61"/>
      <c r="G27" s="62"/>
      <c r="H27" s="66"/>
      <c r="I27" s="31"/>
      <c r="J27" s="31"/>
      <c r="K27" s="31"/>
      <c r="L27" s="58"/>
      <c r="M27" s="31"/>
      <c r="N27" s="31"/>
      <c r="O27" s="31"/>
      <c r="P27" s="31"/>
      <c r="Q27" s="31"/>
      <c r="R27" s="59"/>
      <c r="S27" s="31"/>
      <c r="T27" s="31"/>
      <c r="U27" s="1"/>
      <c r="V27" s="1"/>
      <c r="W27" s="1"/>
      <c r="X27" s="1"/>
      <c r="Y27" s="1"/>
      <c r="Z27" s="1"/>
      <c r="AA27" s="1"/>
      <c r="AB27" s="1"/>
    </row>
    <row r="28">
      <c r="A28" s="39">
        <v>20.0</v>
      </c>
      <c r="B28" s="42" t="s">
        <v>55</v>
      </c>
      <c r="C28" s="40">
        <v>1.60906160282E11</v>
      </c>
      <c r="D28" s="63" t="s">
        <v>29</v>
      </c>
      <c r="E28" s="72" t="s">
        <v>115</v>
      </c>
      <c r="F28" s="80"/>
      <c r="G28" s="81"/>
      <c r="H28" s="66"/>
      <c r="I28" s="31"/>
      <c r="J28" s="31"/>
      <c r="K28" s="31"/>
      <c r="L28" s="58"/>
      <c r="M28" s="31"/>
      <c r="N28" s="31"/>
      <c r="O28" s="31"/>
      <c r="P28" s="31"/>
      <c r="Q28" s="31"/>
      <c r="R28" s="59"/>
      <c r="S28" s="31"/>
      <c r="T28" s="31"/>
      <c r="U28" s="1"/>
      <c r="V28" s="1"/>
      <c r="W28" s="1"/>
      <c r="X28" s="1"/>
      <c r="Y28" s="1"/>
      <c r="Z28" s="1"/>
      <c r="AA28" s="1"/>
      <c r="AB28" s="1"/>
    </row>
    <row r="29">
      <c r="A29" s="52">
        <v>21.0</v>
      </c>
      <c r="B29" s="42" t="s">
        <v>57</v>
      </c>
      <c r="C29" s="40">
        <v>1.61225050381E11</v>
      </c>
      <c r="D29" s="63" t="s">
        <v>21</v>
      </c>
      <c r="E29" s="60" t="s">
        <v>116</v>
      </c>
      <c r="F29" s="61"/>
      <c r="G29" s="62"/>
      <c r="H29" s="66"/>
      <c r="I29" s="31"/>
      <c r="J29" s="31"/>
      <c r="K29" s="31"/>
      <c r="L29" s="58"/>
      <c r="M29" s="31"/>
      <c r="N29" s="31"/>
      <c r="O29" s="31"/>
      <c r="P29" s="31"/>
      <c r="Q29" s="31"/>
      <c r="R29" s="59"/>
      <c r="S29" s="31"/>
      <c r="T29" s="31"/>
      <c r="U29" s="1"/>
      <c r="V29" s="1"/>
      <c r="W29" s="1"/>
      <c r="X29" s="1"/>
      <c r="Y29" s="1"/>
      <c r="Z29" s="1"/>
      <c r="AA29" s="1"/>
      <c r="AB29" s="1"/>
    </row>
    <row r="30">
      <c r="A30" s="39">
        <v>22.0</v>
      </c>
      <c r="B30" s="42" t="s">
        <v>58</v>
      </c>
      <c r="C30" s="40">
        <v>1.60831050395E11</v>
      </c>
      <c r="D30" s="63" t="s">
        <v>29</v>
      </c>
      <c r="E30" s="60" t="s">
        <v>72</v>
      </c>
      <c r="F30" s="61"/>
      <c r="G30" s="62"/>
      <c r="H30" s="66"/>
      <c r="I30" s="31"/>
      <c r="J30" s="31"/>
      <c r="K30" s="31"/>
      <c r="L30" s="58"/>
      <c r="M30" s="31"/>
      <c r="N30" s="31"/>
      <c r="O30" s="31"/>
      <c r="P30" s="31"/>
      <c r="Q30" s="31"/>
      <c r="R30" s="59"/>
      <c r="S30" s="31"/>
      <c r="T30" s="31"/>
      <c r="U30" s="1"/>
      <c r="V30" s="1"/>
      <c r="W30" s="1"/>
      <c r="X30" s="1"/>
      <c r="Y30" s="1"/>
      <c r="Z30" s="1"/>
      <c r="AA30" s="1"/>
      <c r="AB30" s="1"/>
    </row>
    <row r="31">
      <c r="A31" s="52">
        <v>23.0</v>
      </c>
      <c r="B31" s="42" t="s">
        <v>60</v>
      </c>
      <c r="C31" s="40">
        <v>1.61007050754E11</v>
      </c>
      <c r="D31" s="63" t="s">
        <v>21</v>
      </c>
      <c r="E31" s="72" t="s">
        <v>77</v>
      </c>
      <c r="F31" s="80"/>
      <c r="G31" s="81"/>
      <c r="H31" s="66"/>
      <c r="I31" s="31"/>
      <c r="J31" s="31"/>
      <c r="K31" s="31"/>
      <c r="L31" s="58"/>
      <c r="M31" s="31"/>
      <c r="N31" s="31"/>
      <c r="O31" s="31"/>
      <c r="P31" s="31"/>
      <c r="Q31" s="31"/>
      <c r="R31" s="59"/>
      <c r="S31" s="31"/>
      <c r="T31" s="31"/>
      <c r="U31" s="1"/>
      <c r="V31" s="1"/>
      <c r="W31" s="1"/>
      <c r="X31" s="1"/>
      <c r="Y31" s="1"/>
      <c r="Z31" s="1"/>
      <c r="AA31" s="1"/>
      <c r="AB31" s="1"/>
    </row>
    <row r="32">
      <c r="A32" s="39">
        <v>24.0</v>
      </c>
      <c r="B32" s="42" t="s">
        <v>61</v>
      </c>
      <c r="C32" s="77">
        <v>1.60717050519E11</v>
      </c>
      <c r="D32" s="63" t="s">
        <v>29</v>
      </c>
      <c r="E32" s="110" t="s">
        <v>81</v>
      </c>
      <c r="F32" s="135"/>
      <c r="G32" s="136"/>
      <c r="H32" s="66"/>
      <c r="I32" s="31"/>
      <c r="J32" s="31"/>
      <c r="K32" s="1"/>
      <c r="L32" s="1"/>
      <c r="M32" s="1"/>
      <c r="N32" s="28"/>
      <c r="O32" s="37"/>
      <c r="P32" s="37"/>
      <c r="Q32" s="31"/>
      <c r="R32" s="31"/>
      <c r="S32" s="31"/>
      <c r="T32" s="31"/>
      <c r="U32" s="1"/>
      <c r="V32" s="1"/>
      <c r="W32" s="1"/>
      <c r="X32" s="1"/>
      <c r="Y32" s="1"/>
      <c r="Z32" s="1"/>
      <c r="AA32" s="1"/>
      <c r="AB32" s="1"/>
    </row>
    <row r="33">
      <c r="A33" s="52">
        <v>25.0</v>
      </c>
      <c r="B33" s="83"/>
      <c r="C33" s="84"/>
      <c r="D33" s="85"/>
      <c r="E33" s="116"/>
      <c r="F33" s="61"/>
      <c r="G33" s="62"/>
      <c r="H33" s="66"/>
      <c r="I33" s="1"/>
      <c r="J33" s="1"/>
      <c r="K33" s="1"/>
      <c r="L33" s="1"/>
      <c r="M33" s="1"/>
      <c r="N33" s="28"/>
      <c r="O33" s="37"/>
      <c r="P33" s="37"/>
      <c r="Q33" s="31"/>
      <c r="R33" s="31"/>
      <c r="S33" s="31"/>
      <c r="T33" s="31"/>
      <c r="U33" s="1"/>
      <c r="V33" s="1"/>
      <c r="W33" s="1"/>
      <c r="X33" s="1"/>
      <c r="Y33" s="1"/>
      <c r="Z33" s="1"/>
      <c r="AA33" s="1"/>
      <c r="AB33" s="1"/>
    </row>
    <row r="34">
      <c r="A34" s="39">
        <v>26.0</v>
      </c>
      <c r="B34" s="86"/>
      <c r="C34" s="87"/>
      <c r="D34" s="88"/>
      <c r="E34" s="121"/>
      <c r="F34" s="80"/>
      <c r="G34" s="81"/>
      <c r="H34" s="66"/>
      <c r="I34" s="1"/>
      <c r="J34" s="1"/>
      <c r="K34" s="1"/>
      <c r="L34" s="1"/>
      <c r="M34" s="1"/>
      <c r="N34" s="28"/>
      <c r="O34" s="37"/>
      <c r="P34" s="37"/>
      <c r="Q34" s="31"/>
      <c r="R34" s="31"/>
      <c r="S34" s="31"/>
      <c r="T34" s="31"/>
      <c r="U34" s="1"/>
      <c r="V34" s="1"/>
      <c r="W34" s="1"/>
      <c r="X34" s="1"/>
      <c r="Y34" s="1"/>
      <c r="Z34" s="1"/>
      <c r="AA34" s="1"/>
      <c r="AB34" s="1"/>
    </row>
    <row r="35">
      <c r="A35" s="39">
        <v>27.0</v>
      </c>
      <c r="B35" s="83"/>
      <c r="C35" s="84"/>
      <c r="D35" s="89"/>
      <c r="E35" s="116"/>
      <c r="F35" s="61"/>
      <c r="G35" s="62"/>
      <c r="H35" s="66"/>
      <c r="I35" s="1"/>
      <c r="J35" s="1"/>
      <c r="K35" s="1"/>
      <c r="L35" s="1"/>
      <c r="M35" s="1"/>
      <c r="N35" s="28"/>
      <c r="O35" s="37"/>
      <c r="P35" s="37"/>
      <c r="Q35" s="31"/>
      <c r="R35" s="31"/>
      <c r="S35" s="31"/>
      <c r="T35" s="31"/>
      <c r="U35" s="1"/>
      <c r="V35" s="1"/>
      <c r="W35" s="1"/>
      <c r="X35" s="1"/>
      <c r="Y35" s="1"/>
      <c r="Z35" s="1"/>
      <c r="AA35" s="1"/>
      <c r="AB35" s="1"/>
    </row>
    <row r="36">
      <c r="A36" s="52">
        <v>28.0</v>
      </c>
      <c r="B36" s="90"/>
      <c r="C36" s="91"/>
      <c r="D36" s="89"/>
      <c r="E36" s="116"/>
      <c r="F36" s="61"/>
      <c r="G36" s="62"/>
      <c r="H36" s="66"/>
      <c r="I36" s="1"/>
      <c r="J36" s="1"/>
      <c r="K36" s="1"/>
      <c r="L36" s="1"/>
      <c r="M36" s="1"/>
      <c r="N36" s="28"/>
      <c r="O36" s="37"/>
      <c r="P36" s="37"/>
      <c r="Q36" s="31"/>
      <c r="R36" s="92"/>
      <c r="S36" s="92"/>
      <c r="T36" s="92"/>
      <c r="U36" s="1"/>
      <c r="V36" s="1"/>
      <c r="W36" s="1"/>
      <c r="X36" s="1"/>
      <c r="Y36" s="1"/>
      <c r="Z36" s="1"/>
      <c r="AA36" s="1"/>
      <c r="AB36" s="1"/>
    </row>
    <row r="37">
      <c r="A37" s="39">
        <v>29.0</v>
      </c>
      <c r="B37" s="94"/>
      <c r="C37" s="95"/>
      <c r="D37" s="97">
        <f>D38+D39</f>
        <v>24</v>
      </c>
      <c r="E37" s="132"/>
      <c r="F37" s="14"/>
      <c r="G37" s="15"/>
      <c r="H37" s="66"/>
      <c r="I37" s="1"/>
      <c r="J37" s="1"/>
      <c r="K37" s="1"/>
      <c r="L37" s="1"/>
      <c r="M37" s="1"/>
      <c r="N37" s="28"/>
      <c r="O37" s="37"/>
      <c r="P37" s="37"/>
      <c r="Q37" s="3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102" t="s">
        <v>73</v>
      </c>
      <c r="B38" s="14"/>
      <c r="C38" s="15"/>
      <c r="D38" s="103">
        <f>COUNTIF(D9:D35,"L")</f>
        <v>11</v>
      </c>
      <c r="E38" s="132"/>
      <c r="F38" s="14"/>
      <c r="G38" s="15"/>
      <c r="H38" s="66"/>
      <c r="I38" s="1"/>
      <c r="J38" s="67" t="s">
        <v>118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102" t="s">
        <v>76</v>
      </c>
      <c r="B39" s="14"/>
      <c r="C39" s="15"/>
      <c r="D39" s="97">
        <f>COUNTIF(D9:D35,"P")</f>
        <v>13</v>
      </c>
      <c r="E39" s="132"/>
      <c r="F39" s="14"/>
      <c r="G39" s="15"/>
      <c r="H39" s="138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1"/>
      <c r="C40" s="1"/>
      <c r="D40" s="1"/>
      <c r="E40" s="3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1"/>
      <c r="E41" s="134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1"/>
      <c r="C42" s="105"/>
      <c r="D42" s="106"/>
      <c r="E42" s="3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"/>
      <c r="B43" s="1"/>
      <c r="C43" s="1"/>
      <c r="D43" s="1"/>
      <c r="E43" s="3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"/>
      <c r="B44" s="1"/>
      <c r="C44" s="1"/>
      <c r="D44" s="1"/>
      <c r="E44" s="3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1"/>
      <c r="B45" s="1"/>
      <c r="C45" s="1"/>
      <c r="D45" s="1"/>
      <c r="E45" s="3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"/>
      <c r="B46" s="1"/>
      <c r="C46" s="1"/>
      <c r="D46" s="1"/>
      <c r="E46" s="3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"/>
      <c r="B47" s="1"/>
      <c r="C47" s="1"/>
      <c r="D47" s="1"/>
      <c r="E47" s="3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/>
      <c r="B48" s="1"/>
      <c r="C48" s="1"/>
      <c r="D48" s="1"/>
      <c r="E48" s="3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/>
      <c r="B49" s="1"/>
      <c r="C49" s="1"/>
      <c r="D49" s="1"/>
      <c r="E49" s="3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/>
      <c r="B50" s="1"/>
      <c r="C50" s="1"/>
      <c r="D50" s="1"/>
      <c r="E50" s="3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/>
      <c r="B51" s="1"/>
      <c r="C51" s="1"/>
      <c r="D51" s="1"/>
      <c r="E51" s="3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1"/>
      <c r="C52" s="1"/>
      <c r="D52" s="1"/>
      <c r="E52" s="3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1"/>
      <c r="C53" s="1"/>
      <c r="D53" s="1"/>
      <c r="E53" s="3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1"/>
      <c r="C54" s="1"/>
      <c r="D54" s="1"/>
      <c r="E54" s="3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1"/>
      <c r="C55" s="1"/>
      <c r="D55" s="1"/>
      <c r="E55" s="3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1"/>
      <c r="C56" s="1"/>
      <c r="D56" s="1"/>
      <c r="E56" s="3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1"/>
      <c r="C57" s="1"/>
      <c r="D57" s="1"/>
      <c r="E57" s="3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1"/>
      <c r="C58" s="1"/>
      <c r="D58" s="1"/>
      <c r="E58" s="3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1"/>
      <c r="C59" s="1"/>
      <c r="D59" s="1"/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1"/>
      <c r="C60" s="1"/>
      <c r="D60" s="1"/>
      <c r="E60" s="3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1"/>
      <c r="C61" s="1"/>
      <c r="D61" s="1"/>
      <c r="E61" s="3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1"/>
      <c r="C62" s="1"/>
      <c r="D62" s="1"/>
      <c r="E62" s="3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1"/>
      <c r="C63" s="1"/>
      <c r="D63" s="1"/>
      <c r="E63" s="3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"/>
      <c r="C64" s="1"/>
      <c r="D64" s="1"/>
      <c r="E64" s="3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"/>
      <c r="C65" s="1"/>
      <c r="D65" s="1"/>
      <c r="E65" s="3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1"/>
      <c r="C66" s="1"/>
      <c r="D66" s="1"/>
      <c r="E66" s="3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1"/>
      <c r="C67" s="1"/>
      <c r="D67" s="1"/>
      <c r="E67" s="3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1"/>
      <c r="C68" s="1"/>
      <c r="D68" s="1"/>
      <c r="E68" s="3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1"/>
      <c r="C69" s="1"/>
      <c r="D69" s="1"/>
      <c r="E69" s="3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1"/>
      <c r="C70" s="1"/>
      <c r="D70" s="1"/>
      <c r="E70" s="3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1"/>
      <c r="C71" s="1"/>
      <c r="D71" s="1"/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1"/>
      <c r="C72" s="1"/>
      <c r="D72" s="1"/>
      <c r="E72" s="3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1"/>
      <c r="C73" s="1"/>
      <c r="D73" s="1"/>
      <c r="E73" s="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1"/>
      <c r="C74" s="1"/>
      <c r="D74" s="1"/>
      <c r="E74" s="3"/>
      <c r="F74" s="1"/>
      <c r="G74" s="1"/>
      <c r="H74" s="67" t="s">
        <v>99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1"/>
      <c r="C75" s="1"/>
      <c r="D75" s="1"/>
      <c r="E75" s="3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"/>
      <c r="C76" s="1"/>
      <c r="D76" s="1"/>
      <c r="E76" s="3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"/>
      <c r="C77" s="1"/>
      <c r="D77" s="1"/>
      <c r="E77" s="3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"/>
      <c r="C78" s="1"/>
      <c r="D78" s="1"/>
      <c r="E78" s="3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"/>
      <c r="C79" s="1"/>
      <c r="D79" s="1"/>
      <c r="E79" s="3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1"/>
      <c r="C80" s="1"/>
      <c r="D80" s="1"/>
      <c r="E80" s="3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1"/>
      <c r="C81" s="1"/>
      <c r="D81" s="1"/>
      <c r="E81" s="3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1"/>
      <c r="C82" s="1"/>
      <c r="D82" s="1"/>
      <c r="E82" s="3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1"/>
      <c r="C83" s="1"/>
      <c r="D83" s="1"/>
      <c r="E83" s="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1"/>
      <c r="C84" s="1"/>
      <c r="D84" s="1"/>
      <c r="E84" s="3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1"/>
      <c r="C85" s="1"/>
      <c r="D85" s="1"/>
      <c r="E85" s="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1"/>
      <c r="C86" s="1"/>
      <c r="D86" s="1"/>
      <c r="E86" s="3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1"/>
      <c r="C87" s="1"/>
      <c r="D87" s="1"/>
      <c r="E87" s="3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1"/>
      <c r="C88" s="1"/>
      <c r="D88" s="1"/>
      <c r="E88" s="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1"/>
      <c r="C89" s="1"/>
      <c r="D89" s="1"/>
      <c r="E89" s="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1"/>
      <c r="C90" s="1"/>
      <c r="D90" s="1"/>
      <c r="E90" s="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1"/>
      <c r="C91" s="1"/>
      <c r="D91" s="1"/>
      <c r="E91" s="3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1"/>
      <c r="C92" s="1"/>
      <c r="D92" s="1"/>
      <c r="E92" s="3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1"/>
      <c r="C93" s="1"/>
      <c r="D93" s="1"/>
      <c r="E93" s="3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1"/>
      <c r="C94" s="1"/>
      <c r="D94" s="1"/>
      <c r="E94" s="3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1"/>
      <c r="C95" s="1"/>
      <c r="D95" s="1"/>
      <c r="E95" s="3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1"/>
      <c r="C96" s="1"/>
      <c r="D96" s="1"/>
      <c r="E96" s="3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1"/>
      <c r="D97" s="1"/>
      <c r="E97" s="3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1"/>
      <c r="D98" s="1"/>
      <c r="E98" s="3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1"/>
      <c r="D99" s="1"/>
      <c r="E99" s="3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1"/>
      <c r="D100" s="1"/>
      <c r="E100" s="3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1"/>
      <c r="D101" s="1"/>
      <c r="E101" s="3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1"/>
      <c r="D102" s="1"/>
      <c r="E102" s="3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1"/>
      <c r="D103" s="1"/>
      <c r="E103" s="3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1"/>
      <c r="D104" s="1"/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1"/>
      <c r="D105" s="1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E963" s="134"/>
    </row>
    <row r="964">
      <c r="E964" s="134"/>
    </row>
    <row r="965">
      <c r="E965" s="134"/>
    </row>
    <row r="966">
      <c r="E966" s="134"/>
    </row>
    <row r="967">
      <c r="E967" s="134"/>
    </row>
    <row r="968">
      <c r="E968" s="134"/>
    </row>
    <row r="969">
      <c r="E969" s="134"/>
    </row>
    <row r="970">
      <c r="E970" s="134"/>
    </row>
    <row r="971">
      <c r="E971" s="134"/>
    </row>
    <row r="972">
      <c r="E972" s="134"/>
    </row>
    <row r="973">
      <c r="E973" s="134"/>
    </row>
    <row r="974">
      <c r="E974" s="134"/>
    </row>
    <row r="975">
      <c r="E975" s="134"/>
    </row>
    <row r="976">
      <c r="E976" s="134"/>
    </row>
    <row r="977">
      <c r="E977" s="134"/>
    </row>
    <row r="978">
      <c r="E978" s="134"/>
    </row>
    <row r="979">
      <c r="E979" s="134"/>
    </row>
    <row r="980">
      <c r="E980" s="134"/>
    </row>
    <row r="981">
      <c r="E981" s="134"/>
    </row>
    <row r="982">
      <c r="E982" s="134"/>
    </row>
    <row r="983">
      <c r="E983" s="134"/>
    </row>
    <row r="984">
      <c r="E984" s="134"/>
    </row>
    <row r="985">
      <c r="E985" s="134"/>
    </row>
    <row r="986">
      <c r="E986" s="134"/>
    </row>
    <row r="987">
      <c r="E987" s="134"/>
    </row>
    <row r="988">
      <c r="E988" s="134"/>
    </row>
    <row r="989">
      <c r="E989" s="134"/>
    </row>
    <row r="990">
      <c r="E990" s="134"/>
    </row>
    <row r="991">
      <c r="E991" s="134"/>
    </row>
    <row r="992">
      <c r="E992" s="134"/>
    </row>
    <row r="993">
      <c r="E993" s="134"/>
    </row>
    <row r="994">
      <c r="E994" s="134"/>
    </row>
    <row r="995">
      <c r="E995" s="134"/>
    </row>
    <row r="996">
      <c r="E996" s="134"/>
    </row>
    <row r="997">
      <c r="E997" s="134"/>
    </row>
    <row r="998">
      <c r="E998" s="134"/>
    </row>
    <row r="999">
      <c r="E999" s="134"/>
    </row>
    <row r="1000">
      <c r="E1000" s="134"/>
    </row>
    <row r="1001">
      <c r="E1001" s="134"/>
    </row>
    <row r="1002">
      <c r="E1002" s="134"/>
    </row>
    <row r="1003">
      <c r="E1003" s="134"/>
    </row>
    <row r="1004">
      <c r="E1004" s="134"/>
    </row>
    <row r="1005">
      <c r="E1005" s="134"/>
    </row>
    <row r="1006">
      <c r="E1006" s="134"/>
    </row>
    <row r="1007">
      <c r="E1007" s="134"/>
    </row>
    <row r="1008">
      <c r="E1008" s="134"/>
    </row>
    <row r="1009">
      <c r="E1009" s="134"/>
    </row>
    <row r="1010">
      <c r="E1010" s="134"/>
    </row>
    <row r="1011">
      <c r="E1011" s="134"/>
    </row>
    <row r="1012">
      <c r="E1012" s="134"/>
    </row>
    <row r="1013">
      <c r="E1013" s="134"/>
    </row>
  </sheetData>
  <mergeCells count="14">
    <mergeCell ref="D7:D8"/>
    <mergeCell ref="E7:G7"/>
    <mergeCell ref="E37:G37"/>
    <mergeCell ref="A38:C38"/>
    <mergeCell ref="E38:G38"/>
    <mergeCell ref="A39:C39"/>
    <mergeCell ref="E39:G39"/>
    <mergeCell ref="B1:G1"/>
    <mergeCell ref="B2:G2"/>
    <mergeCell ref="A4:G4"/>
    <mergeCell ref="A5:G5"/>
    <mergeCell ref="A7:A8"/>
    <mergeCell ref="B7:B8"/>
    <mergeCell ref="C7:C8"/>
  </mergeCells>
  <hyperlinks>
    <hyperlink r:id="rId1" ref="E9"/>
    <hyperlink r:id="rId2" ref="E10"/>
    <hyperlink r:id="rId3" ref="E11"/>
    <hyperlink r:id="rId4" ref="E12"/>
    <hyperlink r:id="rId5" ref="E13"/>
    <hyperlink r:id="rId6" ref="E14"/>
    <hyperlink r:id="rId7" ref="E15"/>
    <hyperlink r:id="rId8" ref="E16"/>
    <hyperlink r:id="rId9" ref="E17"/>
    <hyperlink r:id="rId10" ref="E18"/>
    <hyperlink r:id="rId11" ref="E19"/>
    <hyperlink r:id="rId12" ref="E20"/>
    <hyperlink r:id="rId13" ref="E21"/>
    <hyperlink r:id="rId14" ref="E22"/>
    <hyperlink r:id="rId15" ref="E23"/>
    <hyperlink r:id="rId16" ref="E24"/>
    <hyperlink r:id="rId17" ref="E25"/>
    <hyperlink r:id="rId18" ref="E26"/>
    <hyperlink r:id="rId19" ref="E27"/>
    <hyperlink r:id="rId20" ref="E28"/>
    <hyperlink r:id="rId21" ref="E29"/>
    <hyperlink r:id="rId22" ref="E30"/>
    <hyperlink r:id="rId23" ref="E31"/>
    <hyperlink r:id="rId24" ref="E32"/>
  </hyperlinks>
  <printOptions horizontalCentered="1"/>
  <pageMargins bottom="0.75" footer="0.0" header="0.0" left="0.7" right="0.7" top="0.75"/>
  <pageSetup paperSize="9" scale="60" cellComments="atEnd" orientation="portrait" pageOrder="overThenDown"/>
  <drawing r:id="rId2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6.75"/>
    <col customWidth="1" min="3" max="3" width="13.63"/>
    <col customWidth="1" min="4" max="4" width="7.38"/>
    <col customWidth="1" min="5" max="5" width="18.5"/>
    <col customWidth="1" min="6" max="6" width="9.88"/>
    <col customWidth="1" min="7" max="7" width="9.63"/>
    <col customWidth="1" min="8" max="8" width="9.25"/>
    <col customWidth="1" min="12" max="12" width="37.5"/>
    <col customWidth="1" min="15" max="15" width="30.75"/>
    <col customWidth="1" min="16" max="16" width="13.0"/>
  </cols>
  <sheetData>
    <row r="1">
      <c r="A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2" t="s">
        <v>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1"/>
      <c r="C3" s="1"/>
      <c r="D3" s="1"/>
      <c r="E3" s="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5" t="s">
        <v>1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5" t="s">
        <v>3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6"/>
      <c r="B6" s="6"/>
      <c r="C6" s="6"/>
      <c r="D6" s="6"/>
      <c r="E6" s="7"/>
      <c r="F6" s="6"/>
      <c r="G6" s="6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9" t="s">
        <v>6</v>
      </c>
      <c r="B7" s="10" t="s">
        <v>7</v>
      </c>
      <c r="C7" s="11" t="s">
        <v>8</v>
      </c>
      <c r="D7" s="10" t="s">
        <v>9</v>
      </c>
      <c r="E7" s="12" t="s">
        <v>10</v>
      </c>
      <c r="F7" s="14"/>
      <c r="G7" s="15"/>
      <c r="H7" s="16"/>
      <c r="I7" s="18"/>
      <c r="J7" s="1"/>
      <c r="K7" s="1"/>
      <c r="L7" s="20"/>
      <c r="M7" s="20"/>
      <c r="N7" s="21"/>
      <c r="O7" s="21"/>
      <c r="P7" s="21"/>
      <c r="Q7" s="21" t="s">
        <v>11</v>
      </c>
      <c r="R7" s="2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22"/>
      <c r="B8" s="15"/>
      <c r="C8" s="15"/>
      <c r="D8" s="15"/>
      <c r="E8" s="24" t="s">
        <v>12</v>
      </c>
      <c r="F8" s="24" t="s">
        <v>13</v>
      </c>
      <c r="G8" s="27" t="s">
        <v>14</v>
      </c>
      <c r="H8" s="30" t="s">
        <v>17</v>
      </c>
      <c r="I8" s="33" t="s">
        <v>19</v>
      </c>
      <c r="J8" s="1"/>
      <c r="K8" s="3"/>
      <c r="L8" s="28"/>
      <c r="M8" s="31"/>
      <c r="N8" s="35"/>
      <c r="O8" s="37"/>
      <c r="P8" s="31"/>
      <c r="Q8" s="31" t="s">
        <v>11</v>
      </c>
      <c r="R8" s="31" t="s">
        <v>11</v>
      </c>
      <c r="S8" s="31" t="s">
        <v>11</v>
      </c>
      <c r="T8" s="31"/>
      <c r="U8" s="1"/>
      <c r="V8" s="1"/>
      <c r="W8" s="1"/>
      <c r="X8" s="1"/>
      <c r="Y8" s="1"/>
      <c r="Z8" s="1"/>
      <c r="AA8" s="1"/>
      <c r="AB8" s="1"/>
    </row>
    <row r="9">
      <c r="A9" s="39">
        <v>1.0</v>
      </c>
      <c r="B9" s="42" t="s">
        <v>20</v>
      </c>
      <c r="C9" s="40">
        <v>1.60428050504E11</v>
      </c>
      <c r="D9" s="43" t="s">
        <v>21</v>
      </c>
      <c r="E9" s="60" t="s">
        <v>24</v>
      </c>
      <c r="F9" s="61"/>
      <c r="G9" s="62"/>
      <c r="H9" s="64" t="b">
        <v>1</v>
      </c>
      <c r="I9" s="65" t="b">
        <v>1</v>
      </c>
      <c r="J9" s="21"/>
      <c r="K9" s="49"/>
      <c r="L9" s="21"/>
      <c r="M9" s="21"/>
      <c r="N9" s="21"/>
      <c r="O9" s="21"/>
      <c r="P9" s="21"/>
      <c r="Q9" s="50"/>
      <c r="R9" s="31"/>
      <c r="S9" s="31"/>
      <c r="T9" s="31"/>
      <c r="U9" s="1"/>
      <c r="V9" s="1"/>
      <c r="W9" s="1"/>
      <c r="X9" s="1"/>
      <c r="Y9" s="1"/>
      <c r="Z9" s="1"/>
      <c r="AA9" s="1"/>
      <c r="AB9" s="1"/>
    </row>
    <row r="10">
      <c r="A10" s="52">
        <v>2.0</v>
      </c>
      <c r="B10" s="42" t="s">
        <v>26</v>
      </c>
      <c r="C10" s="40">
        <v>1.61212050251E11</v>
      </c>
      <c r="D10" s="43" t="s">
        <v>21</v>
      </c>
      <c r="E10" s="72" t="s">
        <v>36</v>
      </c>
      <c r="F10" s="73" t="s">
        <v>42</v>
      </c>
      <c r="G10" s="74" t="s">
        <v>44</v>
      </c>
      <c r="H10" s="64" t="b">
        <v>1</v>
      </c>
      <c r="I10" s="65" t="b">
        <v>0</v>
      </c>
      <c r="J10" s="31"/>
      <c r="K10" s="31"/>
      <c r="L10" s="58"/>
      <c r="M10" s="31"/>
      <c r="N10" s="31"/>
      <c r="O10" s="31"/>
      <c r="P10" s="31"/>
      <c r="Q10" s="31"/>
      <c r="R10" s="59"/>
      <c r="S10" s="31"/>
      <c r="T10" s="31"/>
      <c r="U10" s="1"/>
      <c r="V10" s="1"/>
      <c r="W10" s="1"/>
      <c r="X10" s="1"/>
      <c r="Y10" s="1"/>
      <c r="Z10" s="1"/>
      <c r="AA10" s="1"/>
      <c r="AB10" s="1"/>
    </row>
    <row r="11">
      <c r="A11" s="39">
        <v>3.0</v>
      </c>
      <c r="B11" s="42" t="s">
        <v>28</v>
      </c>
      <c r="C11" s="40">
        <v>1.61229140851E11</v>
      </c>
      <c r="D11" s="43" t="s">
        <v>29</v>
      </c>
      <c r="E11" s="60" t="s">
        <v>48</v>
      </c>
      <c r="F11" s="61"/>
      <c r="G11" s="62"/>
      <c r="H11" s="16" t="b">
        <v>0</v>
      </c>
      <c r="I11" s="65" t="b">
        <v>0</v>
      </c>
      <c r="J11" s="31"/>
      <c r="K11" s="31"/>
      <c r="L11" s="58"/>
      <c r="M11" s="31"/>
      <c r="N11" s="31"/>
      <c r="O11" s="31"/>
      <c r="P11" s="31"/>
      <c r="Q11" s="31"/>
      <c r="R11" s="59"/>
      <c r="S11" s="31"/>
      <c r="T11" s="31"/>
      <c r="U11" s="1"/>
      <c r="V11" s="1"/>
      <c r="W11" s="1"/>
      <c r="X11" s="1"/>
      <c r="Y11" s="1"/>
      <c r="Z11" s="1"/>
      <c r="AA11" s="1"/>
      <c r="AB11" s="1"/>
    </row>
    <row r="12">
      <c r="A12" s="39">
        <v>4.0</v>
      </c>
      <c r="B12" s="42" t="s">
        <v>30</v>
      </c>
      <c r="C12" s="40">
        <v>1.612291408E11</v>
      </c>
      <c r="D12" s="63" t="s">
        <v>29</v>
      </c>
      <c r="E12" s="72" t="s">
        <v>59</v>
      </c>
      <c r="F12" s="80"/>
      <c r="G12" s="81"/>
      <c r="H12" s="16" t="b">
        <v>0</v>
      </c>
      <c r="I12" s="65" t="b">
        <v>0</v>
      </c>
      <c r="J12" s="31"/>
      <c r="K12" s="31"/>
      <c r="L12" s="58"/>
      <c r="M12" s="31"/>
      <c r="N12" s="31"/>
      <c r="O12" s="31"/>
      <c r="P12" s="31"/>
      <c r="Q12" s="31"/>
      <c r="R12" s="59"/>
      <c r="S12" s="31"/>
      <c r="T12" s="31"/>
      <c r="U12" s="1"/>
      <c r="V12" s="1"/>
      <c r="W12" s="1"/>
      <c r="X12" s="1"/>
      <c r="Y12" s="1"/>
      <c r="Z12" s="1"/>
      <c r="AA12" s="1"/>
      <c r="AB12" s="1"/>
    </row>
    <row r="13">
      <c r="A13" s="52">
        <v>5.0</v>
      </c>
      <c r="B13" s="42" t="s">
        <v>31</v>
      </c>
      <c r="C13" s="40">
        <v>1.60925040198E11</v>
      </c>
      <c r="D13" s="43" t="s">
        <v>21</v>
      </c>
      <c r="E13" s="60" t="s">
        <v>41</v>
      </c>
      <c r="F13" s="61"/>
      <c r="G13" s="62"/>
      <c r="H13" s="16" t="b">
        <v>0</v>
      </c>
      <c r="I13" s="65" t="b">
        <v>0</v>
      </c>
      <c r="J13" s="31"/>
      <c r="K13" s="31"/>
      <c r="L13" s="58"/>
      <c r="M13" s="31"/>
      <c r="N13" s="31"/>
      <c r="O13" s="31"/>
      <c r="P13" s="31"/>
      <c r="Q13" s="31"/>
      <c r="R13" s="59"/>
      <c r="S13" s="31"/>
      <c r="T13" s="31"/>
      <c r="U13" s="1"/>
      <c r="V13" s="1"/>
      <c r="W13" s="1"/>
      <c r="X13" s="1"/>
      <c r="Y13" s="1"/>
      <c r="Z13" s="1"/>
      <c r="AA13" s="1"/>
      <c r="AB13" s="1"/>
    </row>
    <row r="14">
      <c r="A14" s="39">
        <v>6.0</v>
      </c>
      <c r="B14" s="42" t="s">
        <v>32</v>
      </c>
      <c r="C14" s="40">
        <v>1.60124050206E11</v>
      </c>
      <c r="D14" s="43" t="s">
        <v>21</v>
      </c>
      <c r="E14" s="93" t="s">
        <v>66</v>
      </c>
      <c r="F14" s="80"/>
      <c r="G14" s="81"/>
      <c r="H14" s="16" t="b">
        <v>0</v>
      </c>
      <c r="I14" s="65" t="b">
        <v>0</v>
      </c>
      <c r="J14" s="31"/>
      <c r="K14" s="31"/>
      <c r="L14" s="58"/>
      <c r="M14" s="31"/>
      <c r="N14" s="31"/>
      <c r="O14" s="31"/>
      <c r="P14" s="31"/>
      <c r="Q14" s="31"/>
      <c r="R14" s="59"/>
      <c r="S14" s="31"/>
      <c r="T14" s="31"/>
      <c r="U14" s="1"/>
      <c r="V14" s="1"/>
      <c r="W14" s="1"/>
      <c r="X14" s="1"/>
      <c r="Y14" s="1"/>
      <c r="Z14" s="1"/>
      <c r="AA14" s="1"/>
      <c r="AB14" s="1"/>
    </row>
    <row r="15">
      <c r="A15" s="52">
        <v>7.0</v>
      </c>
      <c r="B15" s="42" t="s">
        <v>35</v>
      </c>
      <c r="C15" s="40">
        <v>1.60111050442E11</v>
      </c>
      <c r="D15" s="43" t="s">
        <v>21</v>
      </c>
      <c r="E15" s="60" t="s">
        <v>68</v>
      </c>
      <c r="F15" s="61"/>
      <c r="G15" s="62"/>
      <c r="H15" s="16" t="b">
        <v>0</v>
      </c>
      <c r="I15" s="65" t="b">
        <v>0</v>
      </c>
      <c r="J15" s="31"/>
      <c r="K15" s="31"/>
      <c r="L15" s="58"/>
      <c r="M15" s="31"/>
      <c r="N15" s="31"/>
      <c r="O15" s="31"/>
      <c r="P15" s="31"/>
      <c r="Q15" s="31"/>
      <c r="R15" s="59"/>
      <c r="S15" s="31"/>
      <c r="T15" s="31"/>
      <c r="U15" s="1"/>
      <c r="V15" s="1"/>
      <c r="W15" s="1"/>
      <c r="X15" s="1"/>
      <c r="Y15" s="1"/>
      <c r="Z15" s="1"/>
      <c r="AA15" s="1"/>
      <c r="AB15" s="1"/>
    </row>
    <row r="16">
      <c r="A16" s="39">
        <v>8.0</v>
      </c>
      <c r="B16" s="42" t="s">
        <v>37</v>
      </c>
      <c r="C16" s="40">
        <v>1.60228050171E11</v>
      </c>
      <c r="D16" s="43" t="s">
        <v>21</v>
      </c>
      <c r="E16" s="72" t="s">
        <v>71</v>
      </c>
      <c r="F16" s="80"/>
      <c r="G16" s="81"/>
      <c r="H16" s="16" t="b">
        <v>0</v>
      </c>
      <c r="I16" s="65" t="b">
        <v>0</v>
      </c>
      <c r="J16" s="31"/>
      <c r="K16" s="31"/>
      <c r="L16" s="58"/>
      <c r="M16" s="31"/>
      <c r="N16" s="31"/>
      <c r="O16" s="31"/>
      <c r="P16" s="31"/>
      <c r="Q16" s="31"/>
      <c r="R16" s="59"/>
      <c r="S16" s="31"/>
      <c r="T16" s="31"/>
      <c r="U16" s="1"/>
      <c r="V16" s="1"/>
      <c r="W16" s="1"/>
      <c r="X16" s="1"/>
      <c r="Y16" s="1"/>
      <c r="Z16" s="1"/>
      <c r="AA16" s="1"/>
      <c r="AB16" s="1"/>
    </row>
    <row r="17">
      <c r="A17" s="52">
        <v>9.0</v>
      </c>
      <c r="B17" s="42" t="s">
        <v>38</v>
      </c>
      <c r="C17" s="40">
        <v>1.60421102316E11</v>
      </c>
      <c r="D17" s="43" t="s">
        <v>29</v>
      </c>
      <c r="E17" s="60" t="s">
        <v>74</v>
      </c>
      <c r="F17" s="61"/>
      <c r="G17" s="62"/>
      <c r="H17" s="16" t="b">
        <v>0</v>
      </c>
      <c r="I17" s="65" t="b">
        <v>0</v>
      </c>
      <c r="J17" s="31"/>
      <c r="K17" s="31"/>
      <c r="L17" s="58"/>
      <c r="M17" s="31"/>
      <c r="N17" s="31"/>
      <c r="O17" s="31"/>
      <c r="P17" s="31"/>
      <c r="Q17" s="31"/>
      <c r="R17" s="59"/>
      <c r="S17" s="70"/>
      <c r="T17" s="31"/>
      <c r="U17" s="1"/>
      <c r="V17" s="1"/>
      <c r="W17" s="1"/>
      <c r="X17" s="1"/>
      <c r="Y17" s="1"/>
      <c r="Z17" s="1"/>
      <c r="AA17" s="1"/>
      <c r="AB17" s="1"/>
    </row>
    <row r="18">
      <c r="A18" s="39">
        <v>10.0</v>
      </c>
      <c r="B18" s="42" t="s">
        <v>39</v>
      </c>
      <c r="C18" s="40">
        <v>1.61122050469E11</v>
      </c>
      <c r="D18" s="43" t="s">
        <v>21</v>
      </c>
      <c r="E18" s="72" t="s">
        <v>78</v>
      </c>
      <c r="F18" s="80"/>
      <c r="G18" s="81"/>
      <c r="H18" s="16" t="b">
        <v>0</v>
      </c>
      <c r="I18" s="65" t="b">
        <v>1</v>
      </c>
      <c r="J18" s="31"/>
      <c r="K18" s="31"/>
      <c r="L18" s="58"/>
      <c r="M18" s="31"/>
      <c r="N18" s="31"/>
      <c r="O18" s="31"/>
      <c r="P18" s="31"/>
      <c r="Q18" s="31"/>
      <c r="R18" s="59"/>
      <c r="S18" s="31"/>
      <c r="T18" s="31"/>
      <c r="U18" s="1"/>
      <c r="V18" s="1"/>
      <c r="W18" s="1"/>
      <c r="X18" s="1"/>
      <c r="Y18" s="1"/>
      <c r="Z18" s="1"/>
      <c r="AA18" s="1"/>
      <c r="AB18" s="1"/>
    </row>
    <row r="19">
      <c r="A19" s="52">
        <v>11.0</v>
      </c>
      <c r="B19" s="42" t="s">
        <v>40</v>
      </c>
      <c r="C19" s="40">
        <v>1.60316050104E11</v>
      </c>
      <c r="D19" s="43" t="s">
        <v>29</v>
      </c>
      <c r="E19" s="60" t="s">
        <v>80</v>
      </c>
      <c r="F19" s="61"/>
      <c r="G19" s="62"/>
      <c r="H19" s="64" t="b">
        <v>1</v>
      </c>
      <c r="I19" s="65" t="b">
        <v>0</v>
      </c>
      <c r="J19" s="31"/>
      <c r="K19" s="31"/>
      <c r="L19" s="58"/>
      <c r="M19" s="31"/>
      <c r="N19" s="31"/>
      <c r="O19" s="31"/>
      <c r="P19" s="31"/>
      <c r="Q19" s="31"/>
      <c r="R19" s="59"/>
      <c r="S19" s="31"/>
      <c r="T19" s="31"/>
      <c r="U19" s="1"/>
      <c r="V19" s="1"/>
      <c r="W19" s="1"/>
      <c r="X19" s="1"/>
      <c r="Y19" s="1"/>
      <c r="Z19" s="1"/>
      <c r="AA19" s="1"/>
      <c r="AB19" s="1"/>
    </row>
    <row r="20">
      <c r="A20" s="39">
        <v>12.0</v>
      </c>
      <c r="B20" s="42" t="s">
        <v>43</v>
      </c>
      <c r="C20" s="40">
        <v>1.60307050487E11</v>
      </c>
      <c r="D20" s="43" t="s">
        <v>21</v>
      </c>
      <c r="E20" s="72" t="s">
        <v>56</v>
      </c>
      <c r="F20" s="80"/>
      <c r="G20" s="81"/>
      <c r="H20" s="16" t="b">
        <v>0</v>
      </c>
      <c r="I20" s="65" t="b">
        <v>1</v>
      </c>
      <c r="J20" s="31"/>
      <c r="K20" s="31"/>
      <c r="L20" s="58"/>
      <c r="M20" s="31"/>
      <c r="N20" s="31"/>
      <c r="O20" s="31"/>
      <c r="P20" s="31"/>
      <c r="Q20" s="31"/>
      <c r="R20" s="59"/>
      <c r="S20" s="31"/>
      <c r="T20" s="31"/>
      <c r="U20" s="1"/>
      <c r="V20" s="1"/>
      <c r="W20" s="1"/>
      <c r="X20" s="1"/>
      <c r="Y20" s="1"/>
      <c r="Z20" s="1"/>
      <c r="AA20" s="1"/>
      <c r="AB20" s="1"/>
    </row>
    <row r="21">
      <c r="A21" s="52">
        <v>13.0</v>
      </c>
      <c r="B21" s="42" t="s">
        <v>45</v>
      </c>
      <c r="C21" s="40">
        <v>1.61204050163E11</v>
      </c>
      <c r="D21" s="43" t="s">
        <v>29</v>
      </c>
      <c r="E21" s="60" t="s">
        <v>84</v>
      </c>
      <c r="F21" s="61"/>
      <c r="G21" s="62"/>
      <c r="H21" s="16" t="b">
        <v>0</v>
      </c>
      <c r="I21" s="65" t="b">
        <v>1</v>
      </c>
      <c r="J21" s="31"/>
      <c r="K21" s="31"/>
      <c r="L21" s="58"/>
      <c r="M21" s="31"/>
      <c r="N21" s="31"/>
      <c r="O21" s="31"/>
      <c r="P21" s="31"/>
      <c r="Q21" s="31"/>
      <c r="R21" s="59"/>
      <c r="S21" s="31"/>
      <c r="T21" s="31"/>
      <c r="U21" s="1"/>
      <c r="V21" s="1"/>
      <c r="W21" s="1"/>
      <c r="X21" s="1"/>
      <c r="Y21" s="1"/>
      <c r="Z21" s="1"/>
      <c r="AA21" s="1"/>
      <c r="AB21" s="1"/>
    </row>
    <row r="22">
      <c r="A22" s="39">
        <v>14.0</v>
      </c>
      <c r="B22" s="42" t="s">
        <v>46</v>
      </c>
      <c r="C22" s="40">
        <v>1.60901050172E11</v>
      </c>
      <c r="D22" s="63" t="s">
        <v>29</v>
      </c>
      <c r="E22" s="72" t="s">
        <v>88</v>
      </c>
      <c r="F22" s="80"/>
      <c r="G22" s="81"/>
      <c r="H22" s="64" t="b">
        <v>1</v>
      </c>
      <c r="I22" s="65" t="b">
        <v>0</v>
      </c>
      <c r="J22" s="31"/>
      <c r="K22" s="31"/>
      <c r="L22" s="58"/>
      <c r="M22" s="31"/>
      <c r="N22" s="31"/>
      <c r="O22" s="31"/>
      <c r="P22" s="31"/>
      <c r="Q22" s="31"/>
      <c r="R22" s="59"/>
      <c r="S22" s="31"/>
      <c r="T22" s="31"/>
      <c r="U22" s="1"/>
      <c r="V22" s="1"/>
      <c r="W22" s="1"/>
      <c r="X22" s="1"/>
      <c r="Y22" s="1"/>
      <c r="Z22" s="1"/>
      <c r="AA22" s="1"/>
      <c r="AB22" s="1"/>
    </row>
    <row r="23">
      <c r="A23" s="52">
        <v>15.0</v>
      </c>
      <c r="B23" s="42" t="s">
        <v>47</v>
      </c>
      <c r="C23" s="40">
        <v>1.60127050623E11</v>
      </c>
      <c r="D23" s="63" t="s">
        <v>21</v>
      </c>
      <c r="E23" s="60" t="s">
        <v>90</v>
      </c>
      <c r="F23" s="61"/>
      <c r="G23" s="62"/>
      <c r="H23" s="16" t="b">
        <v>0</v>
      </c>
      <c r="I23" s="65" t="b">
        <v>1</v>
      </c>
      <c r="J23" s="31"/>
      <c r="K23" s="31"/>
      <c r="L23" s="58"/>
      <c r="M23" s="31"/>
      <c r="N23" s="31"/>
      <c r="O23" s="31"/>
      <c r="P23" s="31"/>
      <c r="Q23" s="31"/>
      <c r="R23" s="59"/>
      <c r="S23" s="31"/>
      <c r="T23" s="31"/>
      <c r="U23" s="1"/>
      <c r="V23" s="1"/>
      <c r="W23" s="1"/>
      <c r="X23" s="1"/>
      <c r="Y23" s="1"/>
      <c r="Z23" s="1"/>
      <c r="AA23" s="1"/>
      <c r="AB23" s="1"/>
    </row>
    <row r="24">
      <c r="A24" s="39">
        <v>16.0</v>
      </c>
      <c r="B24" s="42" t="s">
        <v>49</v>
      </c>
      <c r="C24" s="40">
        <v>1.60401160228E11</v>
      </c>
      <c r="D24" s="63" t="s">
        <v>29</v>
      </c>
      <c r="E24" s="72" t="s">
        <v>94</v>
      </c>
      <c r="F24" s="80"/>
      <c r="G24" s="81"/>
      <c r="H24" s="16" t="b">
        <v>0</v>
      </c>
      <c r="I24" s="65" t="b">
        <v>0</v>
      </c>
      <c r="J24" s="31"/>
      <c r="K24" s="31"/>
      <c r="L24" s="58"/>
      <c r="M24" s="31"/>
      <c r="N24" s="31"/>
      <c r="O24" s="31"/>
      <c r="P24" s="31"/>
      <c r="Q24" s="31"/>
      <c r="R24" s="59"/>
      <c r="S24" s="31"/>
      <c r="T24" s="31"/>
      <c r="U24" s="1"/>
      <c r="V24" s="1"/>
      <c r="W24" s="1"/>
      <c r="X24" s="1"/>
      <c r="Y24" s="1"/>
      <c r="Z24" s="1"/>
      <c r="AA24" s="1"/>
      <c r="AB24" s="1"/>
    </row>
    <row r="25">
      <c r="A25" s="52">
        <v>17.0</v>
      </c>
      <c r="B25" s="42" t="s">
        <v>52</v>
      </c>
      <c r="C25" s="40">
        <v>1.61102050541E11</v>
      </c>
      <c r="D25" s="63" t="s">
        <v>21</v>
      </c>
      <c r="E25" s="60" t="s">
        <v>64</v>
      </c>
      <c r="F25" s="61"/>
      <c r="G25" s="62"/>
      <c r="H25" s="16" t="b">
        <v>0</v>
      </c>
      <c r="I25" s="65" t="b">
        <v>0</v>
      </c>
      <c r="J25" s="31"/>
      <c r="K25" s="31"/>
      <c r="L25" s="58"/>
      <c r="M25" s="31"/>
      <c r="N25" s="31"/>
      <c r="O25" s="31"/>
      <c r="P25" s="31"/>
      <c r="Q25" s="31"/>
      <c r="R25" s="59"/>
      <c r="S25" s="31"/>
      <c r="T25" s="31"/>
      <c r="U25" s="1"/>
      <c r="V25" s="1"/>
      <c r="W25" s="1"/>
      <c r="X25" s="1"/>
      <c r="Y25" s="1"/>
      <c r="Z25" s="1"/>
      <c r="AA25" s="1"/>
      <c r="AB25" s="1"/>
    </row>
    <row r="26">
      <c r="A26" s="39">
        <v>18.0</v>
      </c>
      <c r="B26" s="42" t="s">
        <v>53</v>
      </c>
      <c r="C26" s="40">
        <v>1.6090301174E11</v>
      </c>
      <c r="D26" s="63" t="s">
        <v>29</v>
      </c>
      <c r="E26" s="72" t="s">
        <v>106</v>
      </c>
      <c r="F26" s="80"/>
      <c r="G26" s="81"/>
      <c r="H26" s="16" t="b">
        <v>0</v>
      </c>
      <c r="I26" s="65" t="b">
        <v>0</v>
      </c>
      <c r="J26" s="31"/>
      <c r="K26" s="31"/>
      <c r="L26" s="58"/>
      <c r="M26" s="31"/>
      <c r="N26" s="31"/>
      <c r="O26" s="31"/>
      <c r="P26" s="31"/>
      <c r="Q26" s="31"/>
      <c r="R26" s="59"/>
      <c r="S26" s="31"/>
      <c r="T26" s="31"/>
      <c r="U26" s="1"/>
      <c r="V26" s="1"/>
      <c r="W26" s="1"/>
      <c r="X26" s="1"/>
      <c r="Y26" s="1"/>
      <c r="Z26" s="1"/>
      <c r="AA26" s="1"/>
      <c r="AB26" s="1"/>
    </row>
    <row r="27">
      <c r="A27" s="52">
        <v>19.0</v>
      </c>
      <c r="B27" s="42" t="s">
        <v>54</v>
      </c>
      <c r="C27" s="40">
        <v>1.61028102509E11</v>
      </c>
      <c r="D27" s="63" t="s">
        <v>21</v>
      </c>
      <c r="E27" s="60" t="s">
        <v>67</v>
      </c>
      <c r="F27" s="61"/>
      <c r="G27" s="62"/>
      <c r="H27" s="16" t="b">
        <v>0</v>
      </c>
      <c r="I27" s="65" t="b">
        <v>1</v>
      </c>
      <c r="J27" s="31"/>
      <c r="K27" s="31"/>
      <c r="L27" s="58"/>
      <c r="M27" s="31"/>
      <c r="N27" s="31"/>
      <c r="O27" s="31"/>
      <c r="P27" s="31"/>
      <c r="Q27" s="31"/>
      <c r="R27" s="59"/>
      <c r="S27" s="31"/>
      <c r="T27" s="31"/>
      <c r="U27" s="1"/>
      <c r="V27" s="1"/>
      <c r="W27" s="1"/>
      <c r="X27" s="1"/>
      <c r="Y27" s="1"/>
      <c r="Z27" s="1"/>
      <c r="AA27" s="1"/>
      <c r="AB27" s="1"/>
    </row>
    <row r="28">
      <c r="A28" s="39">
        <v>20.0</v>
      </c>
      <c r="B28" s="42" t="s">
        <v>55</v>
      </c>
      <c r="C28" s="40">
        <v>1.60906160282E11</v>
      </c>
      <c r="D28" s="63" t="s">
        <v>29</v>
      </c>
      <c r="E28" s="72" t="s">
        <v>115</v>
      </c>
      <c r="F28" s="80"/>
      <c r="G28" s="81"/>
      <c r="H28" s="16" t="b">
        <v>0</v>
      </c>
      <c r="I28" s="65" t="b">
        <v>0</v>
      </c>
      <c r="J28" s="31"/>
      <c r="K28" s="31"/>
      <c r="L28" s="58"/>
      <c r="M28" s="31"/>
      <c r="N28" s="31"/>
      <c r="O28" s="31"/>
      <c r="P28" s="31"/>
      <c r="Q28" s="31"/>
      <c r="R28" s="59"/>
      <c r="S28" s="31"/>
      <c r="T28" s="31"/>
      <c r="U28" s="1"/>
      <c r="V28" s="1"/>
      <c r="W28" s="1"/>
      <c r="X28" s="1"/>
      <c r="Y28" s="1"/>
      <c r="Z28" s="1"/>
      <c r="AA28" s="1"/>
      <c r="AB28" s="1"/>
    </row>
    <row r="29">
      <c r="A29" s="52">
        <v>21.0</v>
      </c>
      <c r="B29" s="42" t="s">
        <v>57</v>
      </c>
      <c r="C29" s="40">
        <v>1.61225050381E11</v>
      </c>
      <c r="D29" s="63" t="s">
        <v>21</v>
      </c>
      <c r="E29" s="60" t="s">
        <v>116</v>
      </c>
      <c r="F29" s="61"/>
      <c r="G29" s="62"/>
      <c r="H29" s="16" t="b">
        <v>0</v>
      </c>
      <c r="I29" s="65" t="b">
        <v>1</v>
      </c>
      <c r="J29" s="31"/>
      <c r="K29" s="31"/>
      <c r="L29" s="58"/>
      <c r="M29" s="31"/>
      <c r="N29" s="31"/>
      <c r="O29" s="31"/>
      <c r="P29" s="31"/>
      <c r="Q29" s="31"/>
      <c r="R29" s="59"/>
      <c r="S29" s="31"/>
      <c r="T29" s="31"/>
      <c r="U29" s="1"/>
      <c r="V29" s="1"/>
      <c r="W29" s="1"/>
      <c r="X29" s="1"/>
      <c r="Y29" s="1"/>
      <c r="Z29" s="1"/>
      <c r="AA29" s="1"/>
      <c r="AB29" s="1"/>
    </row>
    <row r="30">
      <c r="A30" s="39">
        <v>22.0</v>
      </c>
      <c r="B30" s="42" t="s">
        <v>58</v>
      </c>
      <c r="C30" s="40">
        <v>1.60831050395E11</v>
      </c>
      <c r="D30" s="63" t="s">
        <v>29</v>
      </c>
      <c r="E30" s="60" t="s">
        <v>72</v>
      </c>
      <c r="F30" s="61"/>
      <c r="G30" s="62"/>
      <c r="H30" s="16" t="b">
        <v>0</v>
      </c>
      <c r="I30" s="65" t="b">
        <v>0</v>
      </c>
      <c r="J30" s="31"/>
      <c r="K30" s="31"/>
      <c r="L30" s="58"/>
      <c r="M30" s="31"/>
      <c r="N30" s="31"/>
      <c r="O30" s="31"/>
      <c r="P30" s="31"/>
      <c r="Q30" s="31"/>
      <c r="R30" s="59"/>
      <c r="S30" s="31"/>
      <c r="T30" s="31"/>
      <c r="U30" s="1"/>
      <c r="V30" s="1"/>
      <c r="W30" s="1"/>
      <c r="X30" s="1"/>
      <c r="Y30" s="1"/>
      <c r="Z30" s="1"/>
      <c r="AA30" s="1"/>
      <c r="AB30" s="1"/>
    </row>
    <row r="31">
      <c r="A31" s="52">
        <v>23.0</v>
      </c>
      <c r="B31" s="42" t="s">
        <v>60</v>
      </c>
      <c r="C31" s="40">
        <v>1.61007050754E11</v>
      </c>
      <c r="D31" s="63" t="s">
        <v>21</v>
      </c>
      <c r="E31" s="72" t="s">
        <v>77</v>
      </c>
      <c r="F31" s="80"/>
      <c r="G31" s="81"/>
      <c r="H31" s="16" t="b">
        <v>0</v>
      </c>
      <c r="I31" s="65" t="b">
        <v>0</v>
      </c>
      <c r="J31" s="31"/>
      <c r="K31" s="31"/>
      <c r="L31" s="58"/>
      <c r="M31" s="31"/>
      <c r="N31" s="31"/>
      <c r="O31" s="31"/>
      <c r="P31" s="31"/>
      <c r="Q31" s="31"/>
      <c r="R31" s="59"/>
      <c r="S31" s="31"/>
      <c r="T31" s="31"/>
      <c r="U31" s="1"/>
      <c r="V31" s="1"/>
      <c r="W31" s="1"/>
      <c r="X31" s="1"/>
      <c r="Y31" s="1"/>
      <c r="Z31" s="1"/>
      <c r="AA31" s="1"/>
      <c r="AB31" s="1"/>
    </row>
    <row r="32">
      <c r="A32" s="39">
        <v>24.0</v>
      </c>
      <c r="B32" s="42" t="s">
        <v>61</v>
      </c>
      <c r="C32" s="77">
        <v>1.60717050519E11</v>
      </c>
      <c r="D32" s="63" t="s">
        <v>29</v>
      </c>
      <c r="E32" s="110" t="s">
        <v>81</v>
      </c>
      <c r="F32" s="135"/>
      <c r="G32" s="136"/>
      <c r="H32" s="16" t="b">
        <v>0</v>
      </c>
      <c r="I32" s="65" t="b">
        <v>0</v>
      </c>
      <c r="J32" s="31"/>
      <c r="K32" s="1"/>
      <c r="L32" s="1"/>
      <c r="M32" s="1"/>
      <c r="N32" s="28"/>
      <c r="O32" s="37"/>
      <c r="P32" s="37"/>
      <c r="Q32" s="31"/>
      <c r="R32" s="31"/>
      <c r="S32" s="31"/>
      <c r="T32" s="31"/>
      <c r="U32" s="1"/>
      <c r="V32" s="1"/>
      <c r="W32" s="1"/>
      <c r="X32" s="1"/>
      <c r="Y32" s="1"/>
      <c r="Z32" s="1"/>
      <c r="AA32" s="1"/>
      <c r="AB32" s="1"/>
    </row>
    <row r="33">
      <c r="A33" s="52">
        <v>25.0</v>
      </c>
      <c r="B33" s="83" t="s">
        <v>117</v>
      </c>
      <c r="C33" s="84">
        <v>1.60223102681E11</v>
      </c>
      <c r="D33" s="137" t="s">
        <v>29</v>
      </c>
      <c r="E33" s="116"/>
      <c r="F33" s="61"/>
      <c r="G33" s="62"/>
      <c r="H33" s="16" t="b">
        <v>0</v>
      </c>
      <c r="I33" s="65" t="b">
        <v>1</v>
      </c>
      <c r="J33" s="1"/>
      <c r="K33" s="1"/>
      <c r="L33" s="1"/>
      <c r="M33" s="1"/>
      <c r="N33" s="28"/>
      <c r="O33" s="37"/>
      <c r="P33" s="37"/>
      <c r="Q33" s="31"/>
      <c r="R33" s="31"/>
      <c r="S33" s="31"/>
      <c r="T33" s="31"/>
      <c r="U33" s="1"/>
      <c r="V33" s="1"/>
      <c r="W33" s="1"/>
      <c r="X33" s="1"/>
      <c r="Y33" s="1"/>
      <c r="Z33" s="1"/>
      <c r="AA33" s="1"/>
      <c r="AB33" s="1"/>
    </row>
    <row r="34">
      <c r="A34" s="39"/>
      <c r="B34" s="86"/>
      <c r="C34" s="87"/>
      <c r="D34" s="88"/>
      <c r="E34" s="121"/>
      <c r="F34" s="80"/>
      <c r="G34" s="81"/>
      <c r="H34" s="18"/>
      <c r="I34" s="1"/>
      <c r="J34" s="1"/>
      <c r="K34" s="1"/>
      <c r="L34" s="1"/>
      <c r="M34" s="1"/>
      <c r="N34" s="28"/>
      <c r="O34" s="37"/>
      <c r="P34" s="37"/>
      <c r="Q34" s="31"/>
      <c r="R34" s="31"/>
      <c r="S34" s="31"/>
      <c r="T34" s="31"/>
      <c r="U34" s="1"/>
      <c r="V34" s="1"/>
      <c r="W34" s="1"/>
      <c r="X34" s="1"/>
      <c r="Y34" s="1"/>
      <c r="Z34" s="1"/>
      <c r="AA34" s="1"/>
      <c r="AB34" s="1"/>
    </row>
    <row r="35">
      <c r="A35" s="39"/>
      <c r="B35" s="83"/>
      <c r="C35" s="84"/>
      <c r="D35" s="89"/>
      <c r="E35" s="116"/>
      <c r="F35" s="61"/>
      <c r="G35" s="62"/>
      <c r="H35" s="18"/>
      <c r="I35" s="1"/>
      <c r="J35" s="1"/>
      <c r="K35" s="1"/>
      <c r="L35" s="1"/>
      <c r="M35" s="1"/>
      <c r="N35" s="28"/>
      <c r="O35" s="37"/>
      <c r="P35" s="37"/>
      <c r="Q35" s="31"/>
      <c r="R35" s="31"/>
      <c r="S35" s="31"/>
      <c r="T35" s="31"/>
      <c r="U35" s="1"/>
      <c r="V35" s="1"/>
      <c r="W35" s="1"/>
      <c r="X35" s="1"/>
      <c r="Y35" s="1"/>
      <c r="Z35" s="1"/>
      <c r="AA35" s="1"/>
      <c r="AB35" s="1"/>
    </row>
    <row r="36">
      <c r="A36" s="52"/>
      <c r="B36" s="90"/>
      <c r="C36" s="91"/>
      <c r="D36" s="89"/>
      <c r="E36" s="116"/>
      <c r="F36" s="61"/>
      <c r="G36" s="62"/>
      <c r="H36" s="18"/>
      <c r="I36" s="1"/>
      <c r="J36" s="1"/>
      <c r="K36" s="1"/>
      <c r="L36" s="1"/>
      <c r="M36" s="1"/>
      <c r="N36" s="28"/>
      <c r="O36" s="37"/>
      <c r="P36" s="37"/>
      <c r="Q36" s="31"/>
      <c r="R36" s="92"/>
      <c r="S36" s="92"/>
      <c r="T36" s="92"/>
      <c r="U36" s="1"/>
      <c r="V36" s="1"/>
      <c r="W36" s="1"/>
      <c r="X36" s="1"/>
      <c r="Y36" s="1"/>
      <c r="Z36" s="1"/>
      <c r="AA36" s="1"/>
      <c r="AB36" s="1"/>
    </row>
    <row r="37">
      <c r="A37" s="39"/>
      <c r="B37" s="94"/>
      <c r="C37" s="95"/>
      <c r="D37" s="97">
        <f>D38+D39</f>
        <v>25</v>
      </c>
      <c r="E37" s="132"/>
      <c r="F37" s="14"/>
      <c r="G37" s="15"/>
      <c r="H37" s="66"/>
      <c r="I37" s="1"/>
      <c r="J37" s="1"/>
      <c r="K37" s="1"/>
      <c r="L37" s="1"/>
      <c r="M37" s="1"/>
      <c r="N37" s="28"/>
      <c r="O37" s="37"/>
      <c r="P37" s="37"/>
      <c r="Q37" s="3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102" t="s">
        <v>73</v>
      </c>
      <c r="B38" s="14"/>
      <c r="C38" s="15"/>
      <c r="D38" s="103">
        <f>COUNTIF(D9:D35,"L")</f>
        <v>12</v>
      </c>
      <c r="E38" s="132"/>
      <c r="F38" s="14"/>
      <c r="G38" s="15"/>
      <c r="H38" s="66"/>
      <c r="I38" s="1"/>
      <c r="J38" s="67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102" t="s">
        <v>76</v>
      </c>
      <c r="B39" s="14"/>
      <c r="C39" s="15"/>
      <c r="D39" s="97">
        <f>COUNTIF(D9:D35,"P")</f>
        <v>13</v>
      </c>
      <c r="E39" s="132"/>
      <c r="F39" s="14"/>
      <c r="G39" s="15"/>
      <c r="H39" s="138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1"/>
      <c r="C40" s="1"/>
      <c r="D40" s="1"/>
      <c r="E40" s="3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1"/>
      <c r="E41" s="134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1"/>
      <c r="C42" s="105"/>
      <c r="D42" s="106"/>
      <c r="E42" s="3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"/>
      <c r="B43" s="1"/>
      <c r="C43" s="1"/>
      <c r="D43" s="1"/>
      <c r="E43" s="3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"/>
      <c r="B44" s="1"/>
      <c r="C44" s="1"/>
      <c r="D44" s="1"/>
      <c r="E44" s="3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1"/>
      <c r="B45" s="1"/>
      <c r="C45" s="1"/>
      <c r="D45" s="1"/>
      <c r="E45" s="3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"/>
      <c r="B46" s="1"/>
      <c r="C46" s="1"/>
      <c r="D46" s="1"/>
      <c r="E46" s="3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"/>
      <c r="B47" s="1"/>
      <c r="C47" s="1"/>
      <c r="D47" s="1"/>
      <c r="E47" s="3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/>
      <c r="B48" s="1"/>
      <c r="C48" s="1"/>
      <c r="D48" s="1"/>
      <c r="E48" s="3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/>
      <c r="B49" s="1"/>
      <c r="C49" s="1"/>
      <c r="D49" s="1"/>
      <c r="E49" s="3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/>
      <c r="B50" s="1"/>
      <c r="C50" s="1"/>
      <c r="D50" s="1"/>
      <c r="E50" s="3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/>
      <c r="B51" s="1"/>
      <c r="C51" s="1"/>
      <c r="D51" s="1"/>
      <c r="E51" s="3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1"/>
      <c r="C52" s="1"/>
      <c r="D52" s="1"/>
      <c r="E52" s="3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1"/>
      <c r="C53" s="1"/>
      <c r="D53" s="1"/>
      <c r="E53" s="3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1"/>
      <c r="C54" s="1"/>
      <c r="D54" s="1"/>
      <c r="E54" s="3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1"/>
      <c r="C55" s="1"/>
      <c r="D55" s="1"/>
      <c r="E55" s="3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1"/>
      <c r="C56" s="1"/>
      <c r="D56" s="1"/>
      <c r="E56" s="3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1"/>
      <c r="C57" s="1"/>
      <c r="D57" s="1"/>
      <c r="E57" s="3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1"/>
      <c r="C58" s="1"/>
      <c r="D58" s="1"/>
      <c r="E58" s="3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1"/>
      <c r="C59" s="1"/>
      <c r="D59" s="1"/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1"/>
      <c r="C60" s="1"/>
      <c r="D60" s="1"/>
      <c r="E60" s="3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1"/>
      <c r="C61" s="1"/>
      <c r="D61" s="1"/>
      <c r="E61" s="3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1"/>
      <c r="C62" s="1"/>
      <c r="D62" s="1"/>
      <c r="E62" s="3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1"/>
      <c r="C63" s="1"/>
      <c r="D63" s="1"/>
      <c r="E63" s="3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"/>
      <c r="C64" s="1"/>
      <c r="D64" s="1"/>
      <c r="E64" s="3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"/>
      <c r="C65" s="1"/>
      <c r="D65" s="1"/>
      <c r="E65" s="3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1"/>
      <c r="C66" s="1"/>
      <c r="D66" s="1"/>
      <c r="E66" s="3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1"/>
      <c r="C67" s="1"/>
      <c r="D67" s="1"/>
      <c r="E67" s="3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1"/>
      <c r="C68" s="1"/>
      <c r="D68" s="1"/>
      <c r="E68" s="3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1"/>
      <c r="C69" s="1"/>
      <c r="D69" s="1"/>
      <c r="E69" s="3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1"/>
      <c r="C70" s="1"/>
      <c r="D70" s="1"/>
      <c r="E70" s="3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1"/>
      <c r="C71" s="1"/>
      <c r="D71" s="1"/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1"/>
      <c r="C72" s="1"/>
      <c r="D72" s="1"/>
      <c r="E72" s="3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1"/>
      <c r="C73" s="1"/>
      <c r="D73" s="1"/>
      <c r="E73" s="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1"/>
      <c r="C74" s="1"/>
      <c r="D74" s="1"/>
      <c r="E74" s="3"/>
      <c r="F74" s="1"/>
      <c r="G74" s="1"/>
      <c r="H74" s="67" t="s">
        <v>99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1"/>
      <c r="C75" s="1"/>
      <c r="D75" s="1"/>
      <c r="E75" s="3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"/>
      <c r="C76" s="1"/>
      <c r="D76" s="1"/>
      <c r="E76" s="3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"/>
      <c r="C77" s="1"/>
      <c r="D77" s="1"/>
      <c r="E77" s="3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"/>
      <c r="C78" s="1"/>
      <c r="D78" s="1"/>
      <c r="E78" s="3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"/>
      <c r="C79" s="1"/>
      <c r="D79" s="1"/>
      <c r="E79" s="3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1"/>
      <c r="C80" s="1"/>
      <c r="D80" s="1"/>
      <c r="E80" s="3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1"/>
      <c r="C81" s="1"/>
      <c r="D81" s="1"/>
      <c r="E81" s="3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1"/>
      <c r="C82" s="1"/>
      <c r="D82" s="1"/>
      <c r="E82" s="3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1"/>
      <c r="C83" s="1"/>
      <c r="D83" s="1"/>
      <c r="E83" s="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1"/>
      <c r="C84" s="1"/>
      <c r="D84" s="1"/>
      <c r="E84" s="3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1"/>
      <c r="C85" s="1"/>
      <c r="D85" s="1"/>
      <c r="E85" s="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1"/>
      <c r="C86" s="1"/>
      <c r="D86" s="1"/>
      <c r="E86" s="3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1"/>
      <c r="C87" s="1"/>
      <c r="D87" s="1"/>
      <c r="E87" s="3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1"/>
      <c r="C88" s="1"/>
      <c r="D88" s="1"/>
      <c r="E88" s="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1"/>
      <c r="C89" s="1"/>
      <c r="D89" s="1"/>
      <c r="E89" s="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1"/>
      <c r="C90" s="1"/>
      <c r="D90" s="1"/>
      <c r="E90" s="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1"/>
      <c r="C91" s="1"/>
      <c r="D91" s="1"/>
      <c r="E91" s="3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1"/>
      <c r="C92" s="1"/>
      <c r="D92" s="1"/>
      <c r="E92" s="3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1"/>
      <c r="C93" s="1"/>
      <c r="D93" s="1"/>
      <c r="E93" s="3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1"/>
      <c r="C94" s="1"/>
      <c r="D94" s="1"/>
      <c r="E94" s="3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1"/>
      <c r="C95" s="1"/>
      <c r="D95" s="1"/>
      <c r="E95" s="3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1"/>
      <c r="C96" s="1"/>
      <c r="D96" s="1"/>
      <c r="E96" s="3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1"/>
      <c r="D97" s="1"/>
      <c r="E97" s="3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1"/>
      <c r="D98" s="1"/>
      <c r="E98" s="3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1"/>
      <c r="D99" s="1"/>
      <c r="E99" s="3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1"/>
      <c r="D100" s="1"/>
      <c r="E100" s="3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1"/>
      <c r="D101" s="1"/>
      <c r="E101" s="3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1"/>
      <c r="D102" s="1"/>
      <c r="E102" s="3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1"/>
      <c r="D103" s="1"/>
      <c r="E103" s="3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1"/>
      <c r="D104" s="1"/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1"/>
      <c r="D105" s="1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E963" s="134"/>
    </row>
    <row r="964">
      <c r="E964" s="134"/>
    </row>
    <row r="965">
      <c r="E965" s="134"/>
    </row>
    <row r="966">
      <c r="E966" s="134"/>
    </row>
    <row r="967">
      <c r="E967" s="134"/>
    </row>
    <row r="968">
      <c r="E968" s="134"/>
    </row>
    <row r="969">
      <c r="E969" s="134"/>
    </row>
    <row r="970">
      <c r="E970" s="134"/>
    </row>
    <row r="971">
      <c r="E971" s="134"/>
    </row>
    <row r="972">
      <c r="E972" s="134"/>
    </row>
    <row r="973">
      <c r="E973" s="134"/>
    </row>
    <row r="974">
      <c r="E974" s="134"/>
    </row>
    <row r="975">
      <c r="E975" s="134"/>
    </row>
    <row r="976">
      <c r="E976" s="134"/>
    </row>
    <row r="977">
      <c r="E977" s="134"/>
    </row>
    <row r="978">
      <c r="E978" s="134"/>
    </row>
    <row r="979">
      <c r="E979" s="134"/>
    </row>
    <row r="980">
      <c r="E980" s="134"/>
    </row>
    <row r="981">
      <c r="E981" s="134"/>
    </row>
    <row r="982">
      <c r="E982" s="134"/>
    </row>
    <row r="983">
      <c r="E983" s="134"/>
    </row>
    <row r="984">
      <c r="E984" s="134"/>
    </row>
    <row r="985">
      <c r="E985" s="134"/>
    </row>
    <row r="986">
      <c r="E986" s="134"/>
    </row>
    <row r="987">
      <c r="E987" s="134"/>
    </row>
    <row r="988">
      <c r="E988" s="134"/>
    </row>
    <row r="989">
      <c r="E989" s="134"/>
    </row>
    <row r="990">
      <c r="E990" s="134"/>
    </row>
    <row r="991">
      <c r="E991" s="134"/>
    </row>
    <row r="992">
      <c r="E992" s="134"/>
    </row>
    <row r="993">
      <c r="E993" s="134"/>
    </row>
    <row r="994">
      <c r="E994" s="134"/>
    </row>
    <row r="995">
      <c r="E995" s="134"/>
    </row>
    <row r="996">
      <c r="E996" s="134"/>
    </row>
    <row r="997">
      <c r="E997" s="134"/>
    </row>
    <row r="998">
      <c r="E998" s="134"/>
    </row>
    <row r="999">
      <c r="E999" s="134"/>
    </row>
    <row r="1000">
      <c r="E1000" s="134"/>
    </row>
    <row r="1001">
      <c r="E1001" s="134"/>
    </row>
    <row r="1002">
      <c r="E1002" s="134"/>
    </row>
    <row r="1003">
      <c r="E1003" s="134"/>
    </row>
    <row r="1004">
      <c r="E1004" s="134"/>
    </row>
    <row r="1005">
      <c r="E1005" s="134"/>
    </row>
    <row r="1006">
      <c r="E1006" s="134"/>
    </row>
    <row r="1007">
      <c r="E1007" s="134"/>
    </row>
    <row r="1008">
      <c r="E1008" s="134"/>
    </row>
    <row r="1009">
      <c r="E1009" s="134"/>
    </row>
    <row r="1010">
      <c r="E1010" s="134"/>
    </row>
    <row r="1011">
      <c r="E1011" s="134"/>
    </row>
    <row r="1012">
      <c r="E1012" s="134"/>
    </row>
    <row r="1013">
      <c r="E1013" s="134"/>
    </row>
  </sheetData>
  <mergeCells count="14">
    <mergeCell ref="D7:D8"/>
    <mergeCell ref="E7:G7"/>
    <mergeCell ref="E37:G37"/>
    <mergeCell ref="A38:C38"/>
    <mergeCell ref="E38:G38"/>
    <mergeCell ref="A39:C39"/>
    <mergeCell ref="E39:G39"/>
    <mergeCell ref="B1:G1"/>
    <mergeCell ref="B2:G2"/>
    <mergeCell ref="A4:G4"/>
    <mergeCell ref="A5:G5"/>
    <mergeCell ref="A7:A8"/>
    <mergeCell ref="B7:B8"/>
    <mergeCell ref="C7:C8"/>
  </mergeCells>
  <hyperlinks>
    <hyperlink r:id="rId1" ref="E9"/>
    <hyperlink r:id="rId2" ref="E10"/>
    <hyperlink r:id="rId3" ref="E11"/>
    <hyperlink r:id="rId4" ref="E12"/>
    <hyperlink r:id="rId5" ref="E13"/>
    <hyperlink r:id="rId6" ref="E14"/>
    <hyperlink r:id="rId7" ref="E15"/>
    <hyperlink r:id="rId8" ref="E16"/>
    <hyperlink r:id="rId9" ref="E17"/>
    <hyperlink r:id="rId10" ref="E18"/>
    <hyperlink r:id="rId11" ref="E19"/>
    <hyperlink r:id="rId12" ref="E20"/>
    <hyperlink r:id="rId13" ref="E21"/>
    <hyperlink r:id="rId14" ref="E22"/>
    <hyperlink r:id="rId15" ref="E23"/>
    <hyperlink r:id="rId16" ref="E24"/>
    <hyperlink r:id="rId17" ref="E25"/>
    <hyperlink r:id="rId18" ref="E26"/>
    <hyperlink r:id="rId19" ref="E27"/>
    <hyperlink r:id="rId20" ref="E28"/>
    <hyperlink r:id="rId21" ref="E29"/>
    <hyperlink r:id="rId22" ref="E30"/>
    <hyperlink r:id="rId23" ref="E31"/>
    <hyperlink r:id="rId24" ref="E32"/>
  </hyperlinks>
  <drawing r:id="rId2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6.75"/>
    <col customWidth="1" min="3" max="3" width="13.63"/>
    <col customWidth="1" min="4" max="5" width="7.38"/>
    <col customWidth="1" min="6" max="6" width="16.5"/>
    <col customWidth="1" min="7" max="7" width="10.63"/>
    <col customWidth="1" min="8" max="8" width="10.25"/>
    <col customWidth="1" min="9" max="9" width="7.5"/>
    <col customWidth="1" min="13" max="13" width="37.5"/>
    <col customWidth="1" min="16" max="16" width="30.75"/>
    <col customWidth="1" min="17" max="17" width="13.0"/>
  </cols>
  <sheetData>
    <row r="1">
      <c r="A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2" t="s">
        <v>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1"/>
      <c r="D3" s="1"/>
      <c r="E3" s="1"/>
      <c r="F3" s="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5" t="s">
        <v>4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5" t="s">
        <v>3</v>
      </c>
      <c r="I5" s="19" t="s">
        <v>5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6"/>
      <c r="B6" s="6"/>
      <c r="C6" s="6"/>
      <c r="D6" s="6"/>
      <c r="E6" s="6"/>
      <c r="F6" s="7"/>
      <c r="G6" s="6"/>
      <c r="H6" s="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9" t="s">
        <v>6</v>
      </c>
      <c r="B7" s="10" t="s">
        <v>7</v>
      </c>
      <c r="C7" s="11" t="s">
        <v>8</v>
      </c>
      <c r="D7" s="10" t="s">
        <v>9</v>
      </c>
      <c r="E7" s="11" t="s">
        <v>15</v>
      </c>
      <c r="F7" s="32" t="s">
        <v>10</v>
      </c>
      <c r="G7" s="34"/>
      <c r="H7" s="34"/>
      <c r="I7" s="34"/>
      <c r="J7" s="36"/>
      <c r="K7" s="1"/>
      <c r="L7" s="1"/>
      <c r="M7" s="20"/>
      <c r="N7" s="20"/>
      <c r="O7" s="21"/>
      <c r="P7" s="21"/>
      <c r="Q7" s="21"/>
      <c r="R7" s="21" t="s">
        <v>11</v>
      </c>
      <c r="S7" s="2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A8" s="22"/>
      <c r="B8" s="15"/>
      <c r="C8" s="15"/>
      <c r="D8" s="15"/>
      <c r="E8" s="15"/>
      <c r="F8" s="41" t="s">
        <v>12</v>
      </c>
      <c r="G8" s="44" t="s">
        <v>13</v>
      </c>
      <c r="H8" s="45" t="s">
        <v>22</v>
      </c>
      <c r="I8" s="41" t="s">
        <v>23</v>
      </c>
      <c r="J8" s="44" t="s">
        <v>25</v>
      </c>
      <c r="K8" s="1"/>
      <c r="L8" s="3"/>
      <c r="M8" s="28"/>
      <c r="N8" s="31"/>
      <c r="O8" s="35"/>
      <c r="P8" s="37"/>
      <c r="Q8" s="31"/>
      <c r="R8" s="31" t="s">
        <v>11</v>
      </c>
      <c r="S8" s="31" t="s">
        <v>11</v>
      </c>
      <c r="T8" s="31" t="s">
        <v>11</v>
      </c>
      <c r="U8" s="31"/>
      <c r="V8" s="1"/>
      <c r="W8" s="1"/>
      <c r="X8" s="1"/>
      <c r="Y8" s="1"/>
      <c r="Z8" s="1"/>
      <c r="AA8" s="1"/>
      <c r="AB8" s="1"/>
      <c r="AC8" s="1"/>
    </row>
    <row r="9">
      <c r="A9" s="39">
        <v>1.0</v>
      </c>
      <c r="B9" s="51" t="s">
        <v>20</v>
      </c>
      <c r="C9" s="53">
        <v>1.60428050504E11</v>
      </c>
      <c r="D9" s="54" t="s">
        <v>21</v>
      </c>
      <c r="E9" s="56" t="s">
        <v>27</v>
      </c>
      <c r="F9" s="60" t="s">
        <v>24</v>
      </c>
      <c r="G9" s="47"/>
      <c r="H9" s="68" t="s">
        <v>34</v>
      </c>
      <c r="I9" s="69"/>
      <c r="J9" s="40" t="s">
        <v>29</v>
      </c>
      <c r="K9" s="21"/>
      <c r="L9" s="49"/>
      <c r="M9" s="21"/>
      <c r="N9" s="21"/>
      <c r="O9" s="21"/>
      <c r="P9" s="21"/>
      <c r="Q9" s="21"/>
      <c r="R9" s="50"/>
      <c r="S9" s="31"/>
      <c r="T9" s="31"/>
      <c r="U9" s="31"/>
      <c r="V9" s="1"/>
      <c r="W9" s="1"/>
      <c r="X9" s="1"/>
      <c r="Y9" s="1"/>
      <c r="Z9" s="1"/>
      <c r="AA9" s="1"/>
      <c r="AB9" s="1"/>
      <c r="AC9" s="1"/>
    </row>
    <row r="10">
      <c r="A10" s="71">
        <v>2.0</v>
      </c>
      <c r="B10" s="51" t="s">
        <v>31</v>
      </c>
      <c r="C10" s="53">
        <v>1.60925040198E11</v>
      </c>
      <c r="D10" s="54" t="s">
        <v>21</v>
      </c>
      <c r="E10" s="56" t="s">
        <v>27</v>
      </c>
      <c r="F10" s="60" t="s">
        <v>41</v>
      </c>
      <c r="G10" s="48">
        <v>1.87817614E8</v>
      </c>
      <c r="H10" s="68" t="s">
        <v>50</v>
      </c>
      <c r="I10" s="69"/>
      <c r="J10" s="40" t="s">
        <v>51</v>
      </c>
      <c r="K10" s="31"/>
      <c r="L10" s="31"/>
      <c r="M10" s="58"/>
      <c r="N10" s="31"/>
      <c r="O10" s="31"/>
      <c r="P10" s="31"/>
      <c r="Q10" s="31"/>
      <c r="R10" s="31"/>
      <c r="S10" s="59"/>
      <c r="T10" s="31"/>
      <c r="U10" s="31"/>
      <c r="V10" s="1"/>
      <c r="W10" s="1"/>
      <c r="X10" s="1"/>
      <c r="Y10" s="1"/>
      <c r="Z10" s="1"/>
      <c r="AA10" s="1"/>
      <c r="AB10" s="1"/>
      <c r="AC10" s="1"/>
    </row>
    <row r="11">
      <c r="A11" s="75">
        <v>3.0</v>
      </c>
      <c r="B11" s="51" t="s">
        <v>43</v>
      </c>
      <c r="C11" s="53">
        <v>1.60307050487E11</v>
      </c>
      <c r="D11" s="76" t="s">
        <v>29</v>
      </c>
      <c r="E11" s="56" t="s">
        <v>27</v>
      </c>
      <c r="F11" s="72" t="s">
        <v>56</v>
      </c>
      <c r="G11" s="55"/>
      <c r="H11" s="68" t="s">
        <v>62</v>
      </c>
      <c r="I11" s="26" t="s">
        <v>63</v>
      </c>
      <c r="J11" s="40" t="s">
        <v>29</v>
      </c>
      <c r="K11" s="31"/>
      <c r="L11" s="31"/>
      <c r="M11" s="58"/>
      <c r="N11" s="31"/>
      <c r="O11" s="31"/>
      <c r="P11" s="31"/>
      <c r="Q11" s="31"/>
      <c r="R11" s="31"/>
      <c r="S11" s="59"/>
      <c r="T11" s="31"/>
      <c r="U11" s="31"/>
      <c r="V11" s="1"/>
      <c r="W11" s="1"/>
      <c r="X11" s="1"/>
      <c r="Y11" s="1"/>
      <c r="Z11" s="1"/>
      <c r="AA11" s="1"/>
      <c r="AB11" s="1"/>
      <c r="AC11" s="1"/>
    </row>
    <row r="12">
      <c r="A12" s="71">
        <v>4.0</v>
      </c>
      <c r="B12" s="51" t="s">
        <v>52</v>
      </c>
      <c r="C12" s="53">
        <v>1.61102050541E11</v>
      </c>
      <c r="D12" s="82" t="s">
        <v>29</v>
      </c>
      <c r="E12" s="56" t="s">
        <v>27</v>
      </c>
      <c r="F12" s="60" t="s">
        <v>64</v>
      </c>
      <c r="G12" s="47"/>
      <c r="H12" s="68" t="s">
        <v>65</v>
      </c>
      <c r="I12" s="26" t="s">
        <v>63</v>
      </c>
      <c r="J12" s="40" t="s">
        <v>29</v>
      </c>
      <c r="K12" s="31"/>
      <c r="L12" s="31"/>
      <c r="M12" s="58"/>
      <c r="N12" s="31"/>
      <c r="O12" s="31"/>
      <c r="P12" s="31"/>
      <c r="Q12" s="31"/>
      <c r="R12" s="31"/>
      <c r="S12" s="59"/>
      <c r="T12" s="31"/>
      <c r="U12" s="31"/>
      <c r="V12" s="1"/>
      <c r="W12" s="1"/>
      <c r="X12" s="1"/>
      <c r="Y12" s="1"/>
      <c r="Z12" s="1"/>
      <c r="AA12" s="1"/>
      <c r="AB12" s="1"/>
      <c r="AC12" s="1"/>
    </row>
    <row r="13">
      <c r="A13" s="71">
        <v>5.0</v>
      </c>
      <c r="B13" s="51" t="s">
        <v>54</v>
      </c>
      <c r="C13" s="53">
        <v>1.61028102509E11</v>
      </c>
      <c r="D13" s="82" t="s">
        <v>29</v>
      </c>
      <c r="E13" s="56" t="s">
        <v>27</v>
      </c>
      <c r="F13" s="60" t="s">
        <v>67</v>
      </c>
      <c r="G13" s="96" t="s">
        <v>69</v>
      </c>
      <c r="H13" s="98"/>
      <c r="I13" s="26" t="s">
        <v>63</v>
      </c>
      <c r="J13" s="40" t="s">
        <v>70</v>
      </c>
      <c r="K13" s="31"/>
      <c r="L13" s="31"/>
      <c r="M13" s="58"/>
      <c r="N13" s="31"/>
      <c r="O13" s="31"/>
      <c r="P13" s="31"/>
      <c r="Q13" s="31"/>
      <c r="R13" s="31"/>
      <c r="S13" s="59"/>
      <c r="T13" s="31"/>
      <c r="U13" s="31"/>
      <c r="V13" s="1"/>
      <c r="W13" s="1"/>
      <c r="X13" s="1"/>
      <c r="Y13" s="1"/>
      <c r="Z13" s="1"/>
      <c r="AA13" s="1"/>
      <c r="AB13" s="1"/>
      <c r="AC13" s="1"/>
    </row>
    <row r="14">
      <c r="A14" s="75">
        <v>6.0</v>
      </c>
      <c r="B14" s="51" t="s">
        <v>58</v>
      </c>
      <c r="C14" s="53">
        <v>1.60831050395E11</v>
      </c>
      <c r="D14" s="101" t="s">
        <v>29</v>
      </c>
      <c r="E14" s="56" t="s">
        <v>27</v>
      </c>
      <c r="F14" s="60" t="s">
        <v>72</v>
      </c>
      <c r="G14" s="47"/>
      <c r="H14" s="68" t="s">
        <v>75</v>
      </c>
      <c r="I14" s="26" t="s">
        <v>63</v>
      </c>
      <c r="J14" s="40" t="s">
        <v>70</v>
      </c>
      <c r="K14" s="31"/>
      <c r="L14" s="31"/>
      <c r="M14" s="58"/>
      <c r="N14" s="31"/>
      <c r="O14" s="31"/>
      <c r="P14" s="31"/>
      <c r="Q14" s="31"/>
      <c r="R14" s="31"/>
      <c r="S14" s="59"/>
      <c r="T14" s="31"/>
      <c r="U14" s="31"/>
      <c r="V14" s="1"/>
      <c r="W14" s="1"/>
      <c r="X14" s="1"/>
      <c r="Y14" s="1"/>
      <c r="Z14" s="1"/>
      <c r="AA14" s="1"/>
      <c r="AB14" s="1"/>
      <c r="AC14" s="1"/>
    </row>
    <row r="15">
      <c r="A15" s="71">
        <v>7.0</v>
      </c>
      <c r="B15" s="51" t="s">
        <v>60</v>
      </c>
      <c r="C15" s="53">
        <v>1.61007050754E11</v>
      </c>
      <c r="D15" s="101" t="s">
        <v>21</v>
      </c>
      <c r="E15" s="56" t="s">
        <v>27</v>
      </c>
      <c r="F15" s="72" t="s">
        <v>77</v>
      </c>
      <c r="G15" s="55"/>
      <c r="H15" s="108" t="s">
        <v>79</v>
      </c>
      <c r="I15" s="69"/>
      <c r="J15" s="40" t="s">
        <v>51</v>
      </c>
      <c r="K15" s="31"/>
      <c r="L15" s="31"/>
      <c r="M15" s="58"/>
      <c r="N15" s="31"/>
      <c r="O15" s="31"/>
      <c r="P15" s="31"/>
      <c r="Q15" s="31"/>
      <c r="R15" s="31"/>
      <c r="S15" s="59"/>
      <c r="T15" s="31"/>
      <c r="U15" s="31"/>
      <c r="V15" s="1"/>
      <c r="W15" s="1"/>
      <c r="X15" s="1"/>
      <c r="Y15" s="1"/>
      <c r="Z15" s="1"/>
      <c r="AA15" s="1"/>
      <c r="AB15" s="1"/>
      <c r="AC15" s="1"/>
    </row>
    <row r="16">
      <c r="A16" s="75">
        <v>8.0</v>
      </c>
      <c r="B16" s="51" t="s">
        <v>61</v>
      </c>
      <c r="C16" s="109">
        <v>1.60717050519E11</v>
      </c>
      <c r="D16" s="101" t="s">
        <v>29</v>
      </c>
      <c r="E16" s="56" t="s">
        <v>27</v>
      </c>
      <c r="F16" s="110" t="s">
        <v>81</v>
      </c>
      <c r="G16" s="111" t="s">
        <v>82</v>
      </c>
      <c r="H16" s="79"/>
      <c r="I16" s="26" t="s">
        <v>63</v>
      </c>
      <c r="J16" s="40" t="s">
        <v>83</v>
      </c>
      <c r="K16" s="31"/>
      <c r="L16" s="1"/>
      <c r="M16" s="1"/>
      <c r="N16" s="1"/>
      <c r="O16" s="28"/>
      <c r="P16" s="37"/>
      <c r="Q16" s="37"/>
      <c r="R16" s="31"/>
      <c r="S16" s="31"/>
      <c r="T16" s="31"/>
      <c r="U16" s="31"/>
      <c r="V16" s="1"/>
      <c r="W16" s="1"/>
      <c r="X16" s="1"/>
      <c r="Y16" s="1"/>
      <c r="Z16" s="1"/>
      <c r="AA16" s="1"/>
      <c r="AB16" s="1"/>
      <c r="AC16" s="1"/>
    </row>
    <row r="17">
      <c r="A17" s="71">
        <v>9.0</v>
      </c>
      <c r="B17" s="112" t="s">
        <v>85</v>
      </c>
      <c r="C17" s="113">
        <v>1.40828050767E11</v>
      </c>
      <c r="D17" s="114" t="s">
        <v>29</v>
      </c>
      <c r="E17" s="115" t="s">
        <v>86</v>
      </c>
      <c r="F17" s="116"/>
      <c r="G17" s="61"/>
      <c r="H17" s="117" t="s">
        <v>87</v>
      </c>
      <c r="I17" s="69"/>
      <c r="J17" s="118" t="s">
        <v>51</v>
      </c>
      <c r="K17" s="1"/>
      <c r="L17" s="1"/>
      <c r="M17" s="1"/>
      <c r="N17" s="1"/>
      <c r="O17" s="28"/>
      <c r="P17" s="37"/>
      <c r="Q17" s="37"/>
      <c r="R17" s="31"/>
      <c r="S17" s="31"/>
      <c r="T17" s="31"/>
      <c r="U17" s="31"/>
      <c r="V17" s="1"/>
      <c r="W17" s="1"/>
      <c r="X17" s="1"/>
      <c r="Y17" s="1"/>
      <c r="Z17" s="1"/>
      <c r="AA17" s="1"/>
      <c r="AB17" s="1"/>
      <c r="AC17" s="1"/>
    </row>
    <row r="18">
      <c r="A18" s="75">
        <v>10.0</v>
      </c>
      <c r="B18" s="112" t="s">
        <v>89</v>
      </c>
      <c r="C18" s="113">
        <v>1.41115050366E11</v>
      </c>
      <c r="D18" s="119" t="s">
        <v>21</v>
      </c>
      <c r="E18" s="120" t="s">
        <v>86</v>
      </c>
      <c r="F18" s="121"/>
      <c r="G18" s="80"/>
      <c r="H18" s="80"/>
      <c r="I18" s="69"/>
      <c r="J18" s="118" t="s">
        <v>29</v>
      </c>
      <c r="K18" s="1"/>
      <c r="L18" s="1"/>
      <c r="M18" s="1"/>
      <c r="N18" s="1"/>
      <c r="O18" s="28"/>
      <c r="P18" s="37"/>
      <c r="Q18" s="37"/>
      <c r="R18" s="31"/>
      <c r="S18" s="31"/>
      <c r="T18" s="31"/>
      <c r="U18" s="31"/>
      <c r="V18" s="1"/>
      <c r="W18" s="1"/>
      <c r="X18" s="1"/>
      <c r="Y18" s="1"/>
      <c r="Z18" s="1"/>
      <c r="AA18" s="1"/>
      <c r="AB18" s="1"/>
      <c r="AC18" s="1"/>
    </row>
    <row r="19">
      <c r="A19" s="75">
        <v>11.0</v>
      </c>
      <c r="B19" s="122" t="s">
        <v>91</v>
      </c>
      <c r="C19" s="122">
        <v>1.50618050581E11</v>
      </c>
      <c r="D19" s="119" t="s">
        <v>29</v>
      </c>
      <c r="E19" s="123" t="s">
        <v>92</v>
      </c>
      <c r="F19" s="116"/>
      <c r="G19" s="61"/>
      <c r="H19" s="117" t="s">
        <v>93</v>
      </c>
      <c r="I19" s="26" t="s">
        <v>63</v>
      </c>
      <c r="J19" s="118" t="s">
        <v>29</v>
      </c>
      <c r="K19" s="1"/>
      <c r="L19" s="1"/>
      <c r="M19" s="1"/>
      <c r="N19" s="1"/>
      <c r="O19" s="28"/>
      <c r="P19" s="37"/>
      <c r="Q19" s="37"/>
      <c r="R19" s="31"/>
      <c r="S19" s="31"/>
      <c r="T19" s="31"/>
      <c r="U19" s="31"/>
      <c r="V19" s="1"/>
      <c r="W19" s="1"/>
      <c r="X19" s="1"/>
      <c r="Y19" s="1"/>
      <c r="Z19" s="1"/>
      <c r="AA19" s="1"/>
      <c r="AB19" s="1"/>
      <c r="AC19" s="1"/>
    </row>
    <row r="20">
      <c r="A20" s="71">
        <v>12.0</v>
      </c>
      <c r="B20" s="122" t="s">
        <v>95</v>
      </c>
      <c r="C20" s="122">
        <v>1.50717011617E11</v>
      </c>
      <c r="D20" s="119" t="s">
        <v>29</v>
      </c>
      <c r="E20" s="124" t="s">
        <v>92</v>
      </c>
      <c r="F20" s="116"/>
      <c r="G20" s="61"/>
      <c r="H20" s="117" t="s">
        <v>93</v>
      </c>
      <c r="I20" s="26" t="s">
        <v>63</v>
      </c>
      <c r="J20" s="118" t="s">
        <v>51</v>
      </c>
      <c r="K20" s="1"/>
      <c r="L20" s="1"/>
      <c r="M20" s="1"/>
      <c r="N20" s="1"/>
      <c r="O20" s="28"/>
      <c r="P20" s="37"/>
      <c r="Q20" s="37"/>
      <c r="R20" s="31"/>
      <c r="S20" s="92"/>
      <c r="T20" s="92"/>
      <c r="U20" s="92"/>
      <c r="V20" s="1"/>
      <c r="W20" s="1"/>
      <c r="X20" s="1"/>
      <c r="Y20" s="1"/>
      <c r="Z20" s="1"/>
      <c r="AA20" s="1"/>
      <c r="AB20" s="1"/>
      <c r="AC20" s="1"/>
    </row>
    <row r="21">
      <c r="A21" s="71">
        <v>13.0</v>
      </c>
      <c r="B21" s="122" t="s">
        <v>96</v>
      </c>
      <c r="C21" s="122">
        <v>1.50406050299E11</v>
      </c>
      <c r="D21" s="119" t="s">
        <v>29</v>
      </c>
      <c r="E21" s="124" t="s">
        <v>92</v>
      </c>
      <c r="F21" s="116"/>
      <c r="G21" s="117" t="s">
        <v>97</v>
      </c>
      <c r="H21" s="61"/>
      <c r="I21" s="69"/>
      <c r="J21" s="118" t="s">
        <v>29</v>
      </c>
      <c r="K21" s="1"/>
      <c r="L21" s="1"/>
      <c r="M21" s="1"/>
      <c r="N21" s="1"/>
      <c r="O21" s="28"/>
      <c r="P21" s="37"/>
      <c r="Q21" s="37"/>
      <c r="R21" s="31"/>
      <c r="S21" s="92"/>
      <c r="T21" s="92"/>
      <c r="U21" s="92"/>
      <c r="V21" s="1"/>
      <c r="W21" s="1"/>
      <c r="X21" s="1"/>
      <c r="Y21" s="1"/>
      <c r="Z21" s="1"/>
      <c r="AA21" s="1"/>
      <c r="AB21" s="1"/>
      <c r="AC21" s="1"/>
    </row>
    <row r="22">
      <c r="A22" s="71">
        <v>14.0</v>
      </c>
      <c r="B22" s="122" t="s">
        <v>98</v>
      </c>
      <c r="C22" s="125">
        <v>1.50819102229E11</v>
      </c>
      <c r="D22" s="54" t="s">
        <v>29</v>
      </c>
      <c r="E22" s="124" t="s">
        <v>92</v>
      </c>
      <c r="F22" s="116"/>
      <c r="G22" s="117" t="s">
        <v>100</v>
      </c>
      <c r="H22" s="61"/>
      <c r="I22" s="69"/>
      <c r="J22" s="118" t="s">
        <v>51</v>
      </c>
      <c r="K22" s="1"/>
      <c r="L22" s="1"/>
      <c r="M22" s="1"/>
      <c r="N22" s="1"/>
      <c r="O22" s="28"/>
      <c r="P22" s="37"/>
      <c r="Q22" s="37"/>
      <c r="R22" s="31"/>
      <c r="S22" s="92"/>
      <c r="T22" s="92"/>
      <c r="U22" s="92"/>
      <c r="V22" s="1"/>
      <c r="W22" s="1"/>
      <c r="X22" s="1"/>
      <c r="Y22" s="1"/>
      <c r="Z22" s="1"/>
      <c r="AA22" s="1"/>
      <c r="AB22" s="1"/>
      <c r="AC22" s="1"/>
    </row>
    <row r="23">
      <c r="A23" s="71">
        <v>15.0</v>
      </c>
      <c r="B23" s="122" t="s">
        <v>101</v>
      </c>
      <c r="C23" s="122">
        <v>1.51024050386E11</v>
      </c>
      <c r="D23" s="114" t="s">
        <v>21</v>
      </c>
      <c r="E23" s="124" t="s">
        <v>92</v>
      </c>
      <c r="F23" s="116"/>
      <c r="G23" s="117" t="s">
        <v>102</v>
      </c>
      <c r="H23" s="61"/>
      <c r="I23" s="69"/>
      <c r="J23" s="118" t="s">
        <v>103</v>
      </c>
      <c r="K23" s="1"/>
      <c r="L23" s="1"/>
      <c r="M23" s="1"/>
      <c r="N23" s="1"/>
      <c r="O23" s="28"/>
      <c r="P23" s="37"/>
      <c r="Q23" s="37"/>
      <c r="R23" s="31"/>
      <c r="S23" s="92"/>
      <c r="T23" s="92"/>
      <c r="U23" s="92"/>
      <c r="V23" s="1"/>
      <c r="W23" s="1"/>
      <c r="X23" s="1"/>
      <c r="Y23" s="1"/>
      <c r="Z23" s="1"/>
      <c r="AA23" s="1"/>
      <c r="AB23" s="1"/>
      <c r="AC23" s="1"/>
    </row>
    <row r="24">
      <c r="A24" s="71">
        <v>16.0</v>
      </c>
      <c r="B24" s="122" t="s">
        <v>104</v>
      </c>
      <c r="C24" s="122">
        <v>1.50123050336E11</v>
      </c>
      <c r="D24" s="54" t="s">
        <v>21</v>
      </c>
      <c r="E24" s="124" t="s">
        <v>92</v>
      </c>
      <c r="F24" s="116"/>
      <c r="G24" s="117" t="s">
        <v>105</v>
      </c>
      <c r="H24" s="61"/>
      <c r="I24" s="69"/>
      <c r="J24" s="118" t="s">
        <v>70</v>
      </c>
      <c r="K24" s="1"/>
      <c r="L24" s="1"/>
      <c r="M24" s="1"/>
      <c r="N24" s="1"/>
      <c r="O24" s="28"/>
      <c r="P24" s="37"/>
      <c r="Q24" s="37"/>
      <c r="R24" s="31"/>
      <c r="S24" s="92"/>
      <c r="T24" s="92"/>
      <c r="U24" s="92"/>
      <c r="V24" s="1"/>
      <c r="W24" s="1"/>
      <c r="X24" s="1"/>
      <c r="Y24" s="1"/>
      <c r="Z24" s="1"/>
      <c r="AA24" s="1"/>
      <c r="AB24" s="1"/>
      <c r="AC24" s="1"/>
    </row>
    <row r="25">
      <c r="A25" s="71">
        <v>17.0</v>
      </c>
      <c r="B25" s="122" t="s">
        <v>107</v>
      </c>
      <c r="C25" s="122">
        <v>1.51217050534E11</v>
      </c>
      <c r="D25" s="101" t="s">
        <v>21</v>
      </c>
      <c r="E25" s="124" t="s">
        <v>92</v>
      </c>
      <c r="F25" s="116"/>
      <c r="G25" s="61"/>
      <c r="H25" s="126" t="s">
        <v>108</v>
      </c>
      <c r="I25" s="69"/>
      <c r="J25" s="118" t="s">
        <v>83</v>
      </c>
      <c r="K25" s="1"/>
      <c r="L25" s="1"/>
      <c r="M25" s="1"/>
      <c r="N25" s="1"/>
      <c r="O25" s="28"/>
      <c r="P25" s="37"/>
      <c r="Q25" s="37"/>
      <c r="R25" s="31"/>
      <c r="S25" s="92"/>
      <c r="T25" s="92"/>
      <c r="U25" s="92"/>
      <c r="V25" s="1"/>
      <c r="W25" s="1"/>
      <c r="X25" s="1"/>
      <c r="Y25" s="1"/>
      <c r="Z25" s="1"/>
      <c r="AA25" s="1"/>
      <c r="AB25" s="1"/>
      <c r="AC25" s="1"/>
    </row>
    <row r="26">
      <c r="A26" s="71">
        <v>18.0</v>
      </c>
      <c r="B26" s="122" t="s">
        <v>109</v>
      </c>
      <c r="C26" s="122">
        <v>1.50725050544E11</v>
      </c>
      <c r="D26" s="101" t="s">
        <v>21</v>
      </c>
      <c r="E26" s="124" t="s">
        <v>92</v>
      </c>
      <c r="F26" s="116"/>
      <c r="G26" s="61"/>
      <c r="H26" s="126" t="s">
        <v>110</v>
      </c>
      <c r="I26" s="69"/>
      <c r="J26" s="118" t="s">
        <v>83</v>
      </c>
      <c r="K26" s="1"/>
      <c r="L26" s="1"/>
      <c r="M26" s="1"/>
      <c r="N26" s="1"/>
      <c r="O26" s="28"/>
      <c r="P26" s="37"/>
      <c r="Q26" s="37"/>
      <c r="R26" s="31"/>
      <c r="S26" s="92"/>
      <c r="T26" s="92"/>
      <c r="U26" s="92"/>
      <c r="V26" s="1"/>
      <c r="W26" s="1"/>
      <c r="X26" s="1"/>
      <c r="Y26" s="1"/>
      <c r="Z26" s="1"/>
      <c r="AA26" s="1"/>
      <c r="AB26" s="1"/>
      <c r="AC26" s="1"/>
    </row>
    <row r="27">
      <c r="A27" s="71">
        <v>19.0</v>
      </c>
      <c r="B27" s="122" t="s">
        <v>111</v>
      </c>
      <c r="C27" s="122">
        <v>1.50526050533E11</v>
      </c>
      <c r="D27" s="119" t="s">
        <v>29</v>
      </c>
      <c r="E27" s="124" t="s">
        <v>92</v>
      </c>
      <c r="F27" s="116"/>
      <c r="G27" s="61"/>
      <c r="H27" s="117" t="s">
        <v>112</v>
      </c>
      <c r="I27" s="69"/>
      <c r="J27" s="118" t="s">
        <v>83</v>
      </c>
      <c r="K27" s="1"/>
      <c r="L27" s="1"/>
      <c r="M27" s="1"/>
      <c r="N27" s="1"/>
      <c r="O27" s="28"/>
      <c r="P27" s="37"/>
      <c r="Q27" s="37"/>
      <c r="R27" s="31"/>
      <c r="S27" s="92"/>
      <c r="T27" s="92"/>
      <c r="U27" s="92"/>
      <c r="V27" s="1"/>
      <c r="W27" s="1"/>
      <c r="X27" s="1"/>
      <c r="Y27" s="1"/>
      <c r="Z27" s="1"/>
      <c r="AA27" s="1"/>
      <c r="AB27" s="1"/>
      <c r="AC27" s="1"/>
    </row>
    <row r="28">
      <c r="A28" s="75">
        <v>20.0</v>
      </c>
      <c r="B28" s="127" t="s">
        <v>113</v>
      </c>
      <c r="C28" s="127">
        <v>1.50415050231E11</v>
      </c>
      <c r="D28" s="119" t="s">
        <v>29</v>
      </c>
      <c r="E28" s="56" t="s">
        <v>92</v>
      </c>
      <c r="F28" s="128"/>
      <c r="G28" s="128"/>
      <c r="H28" s="129" t="s">
        <v>114</v>
      </c>
      <c r="I28" s="130"/>
      <c r="J28" s="118" t="s">
        <v>70</v>
      </c>
      <c r="K28" s="1"/>
      <c r="L28" s="1"/>
      <c r="M28" s="1"/>
      <c r="N28" s="1"/>
      <c r="O28" s="28"/>
      <c r="P28" s="37"/>
      <c r="Q28" s="37"/>
      <c r="R28" s="3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102" t="s">
        <v>73</v>
      </c>
      <c r="B29" s="14"/>
      <c r="C29" s="15"/>
      <c r="D29" s="103">
        <f>COUNTIF(D9:D28,"L")</f>
        <v>12</v>
      </c>
      <c r="E29" s="131"/>
      <c r="F29" s="132"/>
      <c r="G29" s="14"/>
      <c r="H29" s="15"/>
      <c r="I29" s="130"/>
      <c r="J29" s="130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102" t="s">
        <v>76</v>
      </c>
      <c r="B30" s="14"/>
      <c r="C30" s="15"/>
      <c r="D30" s="97">
        <f>COUNTIF(D9:D28,"P")</f>
        <v>8</v>
      </c>
      <c r="E30" s="133"/>
      <c r="F30" s="132"/>
      <c r="G30" s="14"/>
      <c r="H30" s="15"/>
      <c r="I30" s="130"/>
      <c r="J30" s="130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1"/>
      <c r="B31" s="1"/>
      <c r="C31" s="1"/>
      <c r="D31" s="1"/>
      <c r="E31" s="1"/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1"/>
      <c r="B32" s="1"/>
      <c r="F32" s="134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1"/>
      <c r="B33" s="1"/>
      <c r="C33" s="105"/>
      <c r="D33" s="106"/>
      <c r="E33" s="106"/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1"/>
      <c r="B34" s="1"/>
      <c r="C34" s="1"/>
      <c r="D34" s="1"/>
      <c r="E34" s="1"/>
      <c r="F34" s="3"/>
      <c r="G34" s="67" t="s">
        <v>51</v>
      </c>
      <c r="H34" s="67" t="s">
        <v>29</v>
      </c>
      <c r="I34" s="67" t="s">
        <v>83</v>
      </c>
      <c r="J34" s="67" t="s">
        <v>70</v>
      </c>
      <c r="K34" s="67" t="s">
        <v>103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1"/>
      <c r="B35" s="1"/>
      <c r="C35" s="1"/>
      <c r="D35" s="1"/>
      <c r="E35" s="1"/>
      <c r="F35" s="3"/>
      <c r="G35" s="1">
        <f>COUNTIF(J9:J28,"S")</f>
        <v>5</v>
      </c>
      <c r="H35" s="1">
        <f>COUNTIF(J9:J28,"L")</f>
        <v>6</v>
      </c>
      <c r="I35" s="1">
        <f>COUNTIF(J9:J28,"M")</f>
        <v>4</v>
      </c>
      <c r="J35" s="1">
        <f>COUNTIF(J9:J28,"XL")</f>
        <v>4</v>
      </c>
      <c r="K35" s="1">
        <f>COUNTIF(J9:J28,"2XL")</f>
        <v>1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1"/>
      <c r="B36" s="1"/>
      <c r="C36" s="1"/>
      <c r="D36" s="1"/>
      <c r="E36" s="1"/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1"/>
      <c r="B37" s="1"/>
      <c r="C37" s="1"/>
      <c r="D37" s="1"/>
      <c r="E37" s="1"/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1"/>
      <c r="B38" s="1"/>
      <c r="C38" s="1"/>
      <c r="D38" s="1"/>
      <c r="E38" s="1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1"/>
      <c r="B39" s="1"/>
      <c r="C39" s="1"/>
      <c r="D39" s="1"/>
      <c r="E39" s="1"/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1"/>
      <c r="B40" s="1"/>
      <c r="C40" s="1"/>
      <c r="D40" s="1"/>
      <c r="E40" s="1"/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1"/>
      <c r="B41" s="1"/>
      <c r="C41" s="1"/>
      <c r="D41" s="1"/>
      <c r="E41" s="1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1"/>
      <c r="B42" s="1"/>
      <c r="C42" s="1"/>
      <c r="D42" s="1"/>
      <c r="E42" s="1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1"/>
      <c r="B43" s="1"/>
      <c r="C43" s="1"/>
      <c r="D43" s="1"/>
      <c r="E43" s="1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1"/>
      <c r="B44" s="1"/>
      <c r="C44" s="1"/>
      <c r="D44" s="1"/>
      <c r="E44" s="1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1"/>
      <c r="B45" s="1"/>
      <c r="C45" s="1"/>
      <c r="D45" s="1"/>
      <c r="E45" s="1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1"/>
      <c r="B46" s="1"/>
      <c r="C46" s="1"/>
      <c r="D46" s="1"/>
      <c r="E46" s="1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1"/>
      <c r="B47" s="1"/>
      <c r="C47" s="1"/>
      <c r="D47" s="1"/>
      <c r="E47" s="1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1"/>
      <c r="B48" s="1"/>
      <c r="C48" s="1"/>
      <c r="D48" s="1"/>
      <c r="E48" s="1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1"/>
      <c r="B49" s="1"/>
      <c r="C49" s="1"/>
      <c r="D49" s="1"/>
      <c r="E49" s="1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1"/>
      <c r="B50" s="1"/>
      <c r="C50" s="1"/>
      <c r="D50" s="1"/>
      <c r="E50" s="1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1"/>
      <c r="B51" s="1"/>
      <c r="C51" s="1"/>
      <c r="D51" s="1"/>
      <c r="E51" s="1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1"/>
      <c r="B52" s="1"/>
      <c r="C52" s="1"/>
      <c r="D52" s="1"/>
      <c r="E52" s="1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1"/>
      <c r="B53" s="1"/>
      <c r="C53" s="1"/>
      <c r="D53" s="1"/>
      <c r="E53" s="1"/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1"/>
      <c r="B54" s="1"/>
      <c r="C54" s="1"/>
      <c r="D54" s="1"/>
      <c r="E54" s="1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1"/>
      <c r="B55" s="1"/>
      <c r="C55" s="1"/>
      <c r="D55" s="1"/>
      <c r="E55" s="1"/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1"/>
      <c r="B56" s="1"/>
      <c r="C56" s="1"/>
      <c r="D56" s="1"/>
      <c r="E56" s="1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1"/>
      <c r="B57" s="1"/>
      <c r="C57" s="1"/>
      <c r="D57" s="1"/>
      <c r="E57" s="1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1"/>
      <c r="B58" s="1"/>
      <c r="C58" s="1"/>
      <c r="D58" s="1"/>
      <c r="E58" s="1"/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1"/>
      <c r="B59" s="1"/>
      <c r="C59" s="1"/>
      <c r="D59" s="1"/>
      <c r="E59" s="1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1"/>
      <c r="B60" s="1"/>
      <c r="C60" s="1"/>
      <c r="D60" s="1"/>
      <c r="E60" s="1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1"/>
      <c r="B61" s="1"/>
      <c r="C61" s="1"/>
      <c r="D61" s="1"/>
      <c r="E61" s="1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1"/>
      <c r="B62" s="1"/>
      <c r="C62" s="1"/>
      <c r="D62" s="1"/>
      <c r="E62" s="1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1"/>
      <c r="B63" s="1"/>
      <c r="C63" s="1"/>
      <c r="D63" s="1"/>
      <c r="E63" s="1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1"/>
      <c r="B64" s="1"/>
      <c r="C64" s="1"/>
      <c r="D64" s="1"/>
      <c r="E64" s="1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1"/>
      <c r="B65" s="1"/>
      <c r="C65" s="1"/>
      <c r="D65" s="1"/>
      <c r="E65" s="1"/>
      <c r="F65" s="3"/>
      <c r="G65" s="1"/>
      <c r="H65" s="1"/>
      <c r="I65" s="67" t="s">
        <v>99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1"/>
      <c r="B66" s="1"/>
      <c r="C66" s="1"/>
      <c r="D66" s="1"/>
      <c r="E66" s="1"/>
      <c r="F66" s="3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1"/>
      <c r="B67" s="1"/>
      <c r="C67" s="1"/>
      <c r="D67" s="1"/>
      <c r="E67" s="1"/>
      <c r="F67" s="3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1"/>
      <c r="B68" s="1"/>
      <c r="C68" s="1"/>
      <c r="D68" s="1"/>
      <c r="E68" s="1"/>
      <c r="F68" s="3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1"/>
      <c r="B69" s="1"/>
      <c r="C69" s="1"/>
      <c r="D69" s="1"/>
      <c r="E69" s="1"/>
      <c r="F69" s="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1"/>
      <c r="B70" s="1"/>
      <c r="C70" s="1"/>
      <c r="D70" s="1"/>
      <c r="E70" s="1"/>
      <c r="F70" s="3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1"/>
      <c r="B71" s="1"/>
      <c r="C71" s="1"/>
      <c r="D71" s="1"/>
      <c r="E71" s="1"/>
      <c r="F71" s="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1"/>
      <c r="B72" s="1"/>
      <c r="C72" s="1"/>
      <c r="D72" s="1"/>
      <c r="E72" s="1"/>
      <c r="F72" s="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1"/>
      <c r="B73" s="1"/>
      <c r="C73" s="1"/>
      <c r="D73" s="1"/>
      <c r="E73" s="1"/>
      <c r="F73" s="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1"/>
      <c r="B74" s="1"/>
      <c r="C74" s="1"/>
      <c r="D74" s="1"/>
      <c r="E74" s="1"/>
      <c r="F74" s="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1"/>
      <c r="B75" s="1"/>
      <c r="C75" s="1"/>
      <c r="D75" s="1"/>
      <c r="E75" s="1"/>
      <c r="F75" s="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1"/>
      <c r="B76" s="1"/>
      <c r="C76" s="1"/>
      <c r="D76" s="1"/>
      <c r="E76" s="1"/>
      <c r="F76" s="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1"/>
      <c r="B77" s="1"/>
      <c r="C77" s="1"/>
      <c r="D77" s="1"/>
      <c r="E77" s="1"/>
      <c r="F77" s="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1"/>
      <c r="B78" s="1"/>
      <c r="C78" s="1"/>
      <c r="D78" s="1"/>
      <c r="E78" s="1"/>
      <c r="F78" s="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1"/>
      <c r="B79" s="1"/>
      <c r="C79" s="1"/>
      <c r="D79" s="1"/>
      <c r="E79" s="1"/>
      <c r="F79" s="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1"/>
      <c r="B80" s="1"/>
      <c r="C80" s="1"/>
      <c r="D80" s="1"/>
      <c r="E80" s="1"/>
      <c r="F80" s="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1"/>
      <c r="B81" s="1"/>
      <c r="C81" s="1"/>
      <c r="D81" s="1"/>
      <c r="E81" s="1"/>
      <c r="F81" s="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1"/>
      <c r="B82" s="1"/>
      <c r="C82" s="1"/>
      <c r="D82" s="1"/>
      <c r="E82" s="1"/>
      <c r="F82" s="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1"/>
      <c r="B83" s="1"/>
      <c r="C83" s="1"/>
      <c r="D83" s="1"/>
      <c r="E83" s="1"/>
      <c r="F83" s="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1"/>
      <c r="B84" s="1"/>
      <c r="C84" s="1"/>
      <c r="D84" s="1"/>
      <c r="E84" s="1"/>
      <c r="F84" s="3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1"/>
      <c r="B85" s="1"/>
      <c r="C85" s="1"/>
      <c r="D85" s="1"/>
      <c r="E85" s="1"/>
      <c r="F85" s="3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1"/>
      <c r="B86" s="1"/>
      <c r="C86" s="1"/>
      <c r="D86" s="1"/>
      <c r="E86" s="1"/>
      <c r="F86" s="3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1"/>
      <c r="B87" s="1"/>
      <c r="C87" s="1"/>
      <c r="D87" s="1"/>
      <c r="E87" s="1"/>
      <c r="F87" s="3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1"/>
      <c r="B88" s="1"/>
      <c r="C88" s="1"/>
      <c r="D88" s="1"/>
      <c r="E88" s="1"/>
      <c r="F88" s="3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1"/>
      <c r="B89" s="1"/>
      <c r="C89" s="1"/>
      <c r="D89" s="1"/>
      <c r="E89" s="1"/>
      <c r="F89" s="3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1"/>
      <c r="B90" s="1"/>
      <c r="C90" s="1"/>
      <c r="D90" s="1"/>
      <c r="E90" s="1"/>
      <c r="F90" s="3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1"/>
      <c r="B91" s="1"/>
      <c r="C91" s="1"/>
      <c r="D91" s="1"/>
      <c r="E91" s="1"/>
      <c r="F91" s="3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1"/>
      <c r="B92" s="1"/>
      <c r="C92" s="1"/>
      <c r="D92" s="1"/>
      <c r="E92" s="1"/>
      <c r="F92" s="3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1"/>
      <c r="B93" s="1"/>
      <c r="C93" s="1"/>
      <c r="D93" s="1"/>
      <c r="E93" s="1"/>
      <c r="F93" s="3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1"/>
      <c r="B94" s="1"/>
      <c r="C94" s="1"/>
      <c r="D94" s="1"/>
      <c r="E94" s="1"/>
      <c r="F94" s="3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1"/>
      <c r="B95" s="1"/>
      <c r="C95" s="1"/>
      <c r="D95" s="1"/>
      <c r="E95" s="1"/>
      <c r="F95" s="3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1"/>
      <c r="B96" s="1"/>
      <c r="C96" s="1"/>
      <c r="D96" s="1"/>
      <c r="E96" s="1"/>
      <c r="F96" s="3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1"/>
      <c r="C97" s="1"/>
      <c r="D97" s="1"/>
      <c r="E97" s="1"/>
      <c r="F97" s="3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1"/>
      <c r="C98" s="1"/>
      <c r="D98" s="1"/>
      <c r="E98" s="1"/>
      <c r="F98" s="3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1"/>
      <c r="C99" s="1"/>
      <c r="D99" s="1"/>
      <c r="E99" s="1"/>
      <c r="F99" s="3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1"/>
      <c r="C100" s="1"/>
      <c r="D100" s="1"/>
      <c r="E100" s="1"/>
      <c r="F100" s="3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1"/>
      <c r="C101" s="1"/>
      <c r="D101" s="1"/>
      <c r="E101" s="1"/>
      <c r="F101" s="3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1"/>
      <c r="C102" s="1"/>
      <c r="D102" s="1"/>
      <c r="E102" s="1"/>
      <c r="F102" s="3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1"/>
      <c r="C103" s="1"/>
      <c r="D103" s="1"/>
      <c r="E103" s="1"/>
      <c r="F103" s="3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1"/>
      <c r="C104" s="1"/>
      <c r="D104" s="1"/>
      <c r="E104" s="1"/>
      <c r="F104" s="3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1"/>
      <c r="C105" s="1"/>
      <c r="D105" s="1"/>
      <c r="E105" s="1"/>
      <c r="F105" s="3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1"/>
      <c r="C106" s="1"/>
      <c r="D106" s="1"/>
      <c r="E106" s="1"/>
      <c r="F106" s="3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1"/>
      <c r="C107" s="1"/>
      <c r="D107" s="1"/>
      <c r="E107" s="1"/>
      <c r="F107" s="3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1"/>
      <c r="C108" s="1"/>
      <c r="D108" s="1"/>
      <c r="E108" s="1"/>
      <c r="F108" s="3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1"/>
      <c r="C109" s="1"/>
      <c r="D109" s="1"/>
      <c r="E109" s="1"/>
      <c r="F109" s="3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1"/>
      <c r="C110" s="1"/>
      <c r="D110" s="1"/>
      <c r="E110" s="1"/>
      <c r="F110" s="3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1"/>
      <c r="C111" s="1"/>
      <c r="D111" s="1"/>
      <c r="E111" s="1"/>
      <c r="F111" s="3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1"/>
      <c r="C112" s="1"/>
      <c r="D112" s="1"/>
      <c r="E112" s="1"/>
      <c r="F112" s="3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1"/>
      <c r="C113" s="1"/>
      <c r="D113" s="1"/>
      <c r="E113" s="1"/>
      <c r="F113" s="3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1"/>
      <c r="C114" s="1"/>
      <c r="D114" s="1"/>
      <c r="E114" s="1"/>
      <c r="F114" s="3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1"/>
      <c r="C115" s="1"/>
      <c r="D115" s="1"/>
      <c r="E115" s="1"/>
      <c r="F115" s="3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1"/>
      <c r="C116" s="1"/>
      <c r="D116" s="1"/>
      <c r="E116" s="1"/>
      <c r="F116" s="3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1"/>
      <c r="C117" s="1"/>
      <c r="D117" s="1"/>
      <c r="E117" s="1"/>
      <c r="F117" s="3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1"/>
      <c r="C118" s="1"/>
      <c r="D118" s="1"/>
      <c r="E118" s="1"/>
      <c r="F118" s="3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1"/>
      <c r="C119" s="1"/>
      <c r="D119" s="1"/>
      <c r="E119" s="1"/>
      <c r="F119" s="3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"/>
      <c r="B120" s="1"/>
      <c r="C120" s="1"/>
      <c r="D120" s="1"/>
      <c r="E120" s="1"/>
      <c r="F120" s="3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"/>
      <c r="B121" s="1"/>
      <c r="C121" s="1"/>
      <c r="D121" s="1"/>
      <c r="E121" s="1"/>
      <c r="F121" s="3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1"/>
      <c r="B122" s="1"/>
      <c r="C122" s="1"/>
      <c r="D122" s="1"/>
      <c r="E122" s="1"/>
      <c r="F122" s="3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1"/>
      <c r="B123" s="1"/>
      <c r="C123" s="1"/>
      <c r="D123" s="1"/>
      <c r="E123" s="1"/>
      <c r="F123" s="3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1"/>
      <c r="B124" s="1"/>
      <c r="C124" s="1"/>
      <c r="D124" s="1"/>
      <c r="E124" s="1"/>
      <c r="F124" s="3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A125" s="1"/>
      <c r="B125" s="1"/>
      <c r="C125" s="1"/>
      <c r="D125" s="1"/>
      <c r="E125" s="1"/>
      <c r="F125" s="3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1"/>
      <c r="B126" s="1"/>
      <c r="C126" s="1"/>
      <c r="D126" s="1"/>
      <c r="E126" s="1"/>
      <c r="F126" s="3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>
      <c r="A127" s="1"/>
      <c r="B127" s="1"/>
      <c r="C127" s="1"/>
      <c r="D127" s="1"/>
      <c r="E127" s="1"/>
      <c r="F127" s="3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1"/>
      <c r="B128" s="1"/>
      <c r="C128" s="1"/>
      <c r="D128" s="1"/>
      <c r="E128" s="1"/>
      <c r="F128" s="3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1"/>
      <c r="B129" s="1"/>
      <c r="C129" s="1"/>
      <c r="D129" s="1"/>
      <c r="E129" s="1"/>
      <c r="F129" s="3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"/>
      <c r="B130" s="1"/>
      <c r="C130" s="1"/>
      <c r="D130" s="1"/>
      <c r="E130" s="1"/>
      <c r="F130" s="3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"/>
      <c r="B131" s="1"/>
      <c r="C131" s="1"/>
      <c r="D131" s="1"/>
      <c r="E131" s="1"/>
      <c r="F131" s="3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1"/>
      <c r="C132" s="1"/>
      <c r="D132" s="1"/>
      <c r="E132" s="1"/>
      <c r="F132" s="3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1"/>
      <c r="C133" s="1"/>
      <c r="D133" s="1"/>
      <c r="E133" s="1"/>
      <c r="F133" s="3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1"/>
      <c r="C134" s="1"/>
      <c r="D134" s="1"/>
      <c r="E134" s="1"/>
      <c r="F134" s="3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1"/>
      <c r="C135" s="1"/>
      <c r="D135" s="1"/>
      <c r="E135" s="1"/>
      <c r="F135" s="3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1"/>
      <c r="C136" s="1"/>
      <c r="D136" s="1"/>
      <c r="E136" s="1"/>
      <c r="F136" s="3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1"/>
      <c r="C137" s="1"/>
      <c r="D137" s="1"/>
      <c r="E137" s="1"/>
      <c r="F137" s="3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1"/>
      <c r="C138" s="1"/>
      <c r="D138" s="1"/>
      <c r="E138" s="1"/>
      <c r="F138" s="3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1"/>
      <c r="C139" s="1"/>
      <c r="D139" s="1"/>
      <c r="E139" s="1"/>
      <c r="F139" s="3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1"/>
      <c r="C140" s="1"/>
      <c r="D140" s="1"/>
      <c r="E140" s="1"/>
      <c r="F140" s="3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1"/>
      <c r="C141" s="1"/>
      <c r="D141" s="1"/>
      <c r="E141" s="1"/>
      <c r="F141" s="3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1"/>
      <c r="C142" s="1"/>
      <c r="D142" s="1"/>
      <c r="E142" s="1"/>
      <c r="F142" s="3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1"/>
      <c r="C143" s="1"/>
      <c r="D143" s="1"/>
      <c r="E143" s="1"/>
      <c r="F143" s="3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1"/>
      <c r="C144" s="1"/>
      <c r="D144" s="1"/>
      <c r="E144" s="1"/>
      <c r="F144" s="3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1"/>
      <c r="C145" s="1"/>
      <c r="D145" s="1"/>
      <c r="E145" s="1"/>
      <c r="F145" s="3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1"/>
      <c r="C146" s="1"/>
      <c r="D146" s="1"/>
      <c r="E146" s="1"/>
      <c r="F146" s="3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1"/>
      <c r="C147" s="1"/>
      <c r="D147" s="1"/>
      <c r="E147" s="1"/>
      <c r="F147" s="3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1"/>
      <c r="C148" s="1"/>
      <c r="D148" s="1"/>
      <c r="E148" s="1"/>
      <c r="F148" s="3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1"/>
      <c r="C149" s="1"/>
      <c r="D149" s="1"/>
      <c r="E149" s="1"/>
      <c r="F149" s="3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1"/>
      <c r="C150" s="1"/>
      <c r="D150" s="1"/>
      <c r="E150" s="1"/>
      <c r="F150" s="3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1"/>
      <c r="C151" s="1"/>
      <c r="D151" s="1"/>
      <c r="E151" s="1"/>
      <c r="F151" s="3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1"/>
      <c r="C152" s="1"/>
      <c r="D152" s="1"/>
      <c r="E152" s="1"/>
      <c r="F152" s="3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1"/>
      <c r="C153" s="1"/>
      <c r="D153" s="1"/>
      <c r="E153" s="1"/>
      <c r="F153" s="3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1"/>
      <c r="C154" s="1"/>
      <c r="D154" s="1"/>
      <c r="E154" s="1"/>
      <c r="F154" s="3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1"/>
      <c r="C155" s="1"/>
      <c r="D155" s="1"/>
      <c r="E155" s="1"/>
      <c r="F155" s="3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1"/>
      <c r="C156" s="1"/>
      <c r="D156" s="1"/>
      <c r="E156" s="1"/>
      <c r="F156" s="3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1"/>
      <c r="C157" s="1"/>
      <c r="D157" s="1"/>
      <c r="E157" s="1"/>
      <c r="F157" s="3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1"/>
      <c r="C158" s="1"/>
      <c r="D158" s="1"/>
      <c r="E158" s="1"/>
      <c r="F158" s="3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1"/>
      <c r="C159" s="1"/>
      <c r="D159" s="1"/>
      <c r="E159" s="1"/>
      <c r="F159" s="3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1"/>
      <c r="C160" s="1"/>
      <c r="D160" s="1"/>
      <c r="E160" s="1"/>
      <c r="F160" s="3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1"/>
      <c r="C161" s="1"/>
      <c r="D161" s="1"/>
      <c r="E161" s="1"/>
      <c r="F161" s="3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1"/>
      <c r="C162" s="1"/>
      <c r="D162" s="1"/>
      <c r="E162" s="1"/>
      <c r="F162" s="3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1"/>
      <c r="C163" s="1"/>
      <c r="D163" s="1"/>
      <c r="E163" s="1"/>
      <c r="F163" s="3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1"/>
      <c r="C164" s="1"/>
      <c r="D164" s="1"/>
      <c r="E164" s="1"/>
      <c r="F164" s="3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1"/>
      <c r="C165" s="1"/>
      <c r="D165" s="1"/>
      <c r="E165" s="1"/>
      <c r="F165" s="3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1"/>
      <c r="C166" s="1"/>
      <c r="D166" s="1"/>
      <c r="E166" s="1"/>
      <c r="F166" s="3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1"/>
      <c r="C167" s="1"/>
      <c r="D167" s="1"/>
      <c r="E167" s="1"/>
      <c r="F167" s="3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1"/>
      <c r="C168" s="1"/>
      <c r="D168" s="1"/>
      <c r="E168" s="1"/>
      <c r="F168" s="3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1"/>
      <c r="C169" s="1"/>
      <c r="D169" s="1"/>
      <c r="E169" s="1"/>
      <c r="F169" s="3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1"/>
      <c r="C170" s="1"/>
      <c r="D170" s="1"/>
      <c r="E170" s="1"/>
      <c r="F170" s="3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1"/>
      <c r="C171" s="1"/>
      <c r="D171" s="1"/>
      <c r="E171" s="1"/>
      <c r="F171" s="3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1"/>
      <c r="C172" s="1"/>
      <c r="D172" s="1"/>
      <c r="E172" s="1"/>
      <c r="F172" s="3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1"/>
      <c r="C173" s="1"/>
      <c r="D173" s="1"/>
      <c r="E173" s="1"/>
      <c r="F173" s="3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1"/>
      <c r="C174" s="1"/>
      <c r="D174" s="1"/>
      <c r="E174" s="1"/>
      <c r="F174" s="3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1"/>
      <c r="C175" s="1"/>
      <c r="D175" s="1"/>
      <c r="E175" s="1"/>
      <c r="F175" s="3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1"/>
      <c r="C176" s="1"/>
      <c r="D176" s="1"/>
      <c r="E176" s="1"/>
      <c r="F176" s="3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1"/>
      <c r="C177" s="1"/>
      <c r="D177" s="1"/>
      <c r="E177" s="1"/>
      <c r="F177" s="3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1"/>
      <c r="C178" s="1"/>
      <c r="D178" s="1"/>
      <c r="E178" s="1"/>
      <c r="F178" s="3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1"/>
      <c r="C179" s="1"/>
      <c r="D179" s="1"/>
      <c r="E179" s="1"/>
      <c r="F179" s="3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1"/>
      <c r="C180" s="1"/>
      <c r="D180" s="1"/>
      <c r="E180" s="1"/>
      <c r="F180" s="3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1"/>
      <c r="C181" s="1"/>
      <c r="D181" s="1"/>
      <c r="E181" s="1"/>
      <c r="F181" s="3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1"/>
      <c r="C182" s="1"/>
      <c r="D182" s="1"/>
      <c r="E182" s="1"/>
      <c r="F182" s="3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1"/>
      <c r="C183" s="1"/>
      <c r="D183" s="1"/>
      <c r="E183" s="1"/>
      <c r="F183" s="3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1"/>
      <c r="C184" s="1"/>
      <c r="D184" s="1"/>
      <c r="E184" s="1"/>
      <c r="F184" s="3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1"/>
      <c r="C185" s="1"/>
      <c r="D185" s="1"/>
      <c r="E185" s="1"/>
      <c r="F185" s="3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1"/>
      <c r="C186" s="1"/>
      <c r="D186" s="1"/>
      <c r="E186" s="1"/>
      <c r="F186" s="3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1"/>
      <c r="C187" s="1"/>
      <c r="D187" s="1"/>
      <c r="E187" s="1"/>
      <c r="F187" s="3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1"/>
      <c r="C188" s="1"/>
      <c r="D188" s="1"/>
      <c r="E188" s="1"/>
      <c r="F188" s="3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1"/>
      <c r="C189" s="1"/>
      <c r="D189" s="1"/>
      <c r="E189" s="1"/>
      <c r="F189" s="3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1"/>
      <c r="C190" s="1"/>
      <c r="D190" s="1"/>
      <c r="E190" s="1"/>
      <c r="F190" s="3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1"/>
      <c r="C191" s="1"/>
      <c r="D191" s="1"/>
      <c r="E191" s="1"/>
      <c r="F191" s="3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1"/>
      <c r="C192" s="1"/>
      <c r="D192" s="1"/>
      <c r="E192" s="1"/>
      <c r="F192" s="3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1"/>
      <c r="C193" s="1"/>
      <c r="D193" s="1"/>
      <c r="E193" s="1"/>
      <c r="F193" s="3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1"/>
      <c r="C194" s="1"/>
      <c r="D194" s="1"/>
      <c r="E194" s="1"/>
      <c r="F194" s="3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1"/>
      <c r="C195" s="1"/>
      <c r="D195" s="1"/>
      <c r="E195" s="1"/>
      <c r="F195" s="3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1"/>
      <c r="C196" s="1"/>
      <c r="D196" s="1"/>
      <c r="E196" s="1"/>
      <c r="F196" s="3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1"/>
      <c r="C197" s="1"/>
      <c r="D197" s="1"/>
      <c r="E197" s="1"/>
      <c r="F197" s="3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1"/>
      <c r="C198" s="1"/>
      <c r="D198" s="1"/>
      <c r="E198" s="1"/>
      <c r="F198" s="3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1"/>
      <c r="C199" s="1"/>
      <c r="D199" s="1"/>
      <c r="E199" s="1"/>
      <c r="F199" s="3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1"/>
      <c r="C200" s="1"/>
      <c r="D200" s="1"/>
      <c r="E200" s="1"/>
      <c r="F200" s="3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1"/>
      <c r="C201" s="1"/>
      <c r="D201" s="1"/>
      <c r="E201" s="1"/>
      <c r="F201" s="3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1"/>
      <c r="C202" s="1"/>
      <c r="D202" s="1"/>
      <c r="E202" s="1"/>
      <c r="F202" s="3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1"/>
      <c r="C203" s="1"/>
      <c r="D203" s="1"/>
      <c r="E203" s="1"/>
      <c r="F203" s="3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1"/>
      <c r="C204" s="1"/>
      <c r="D204" s="1"/>
      <c r="E204" s="1"/>
      <c r="F204" s="3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1"/>
      <c r="C205" s="1"/>
      <c r="D205" s="1"/>
      <c r="E205" s="1"/>
      <c r="F205" s="3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1"/>
      <c r="C206" s="1"/>
      <c r="D206" s="1"/>
      <c r="E206" s="1"/>
      <c r="F206" s="3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1"/>
      <c r="C207" s="1"/>
      <c r="D207" s="1"/>
      <c r="E207" s="1"/>
      <c r="F207" s="3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1"/>
      <c r="C208" s="1"/>
      <c r="D208" s="1"/>
      <c r="E208" s="1"/>
      <c r="F208" s="3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1"/>
      <c r="C209" s="1"/>
      <c r="D209" s="1"/>
      <c r="E209" s="1"/>
      <c r="F209" s="3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1"/>
      <c r="C210" s="1"/>
      <c r="D210" s="1"/>
      <c r="E210" s="1"/>
      <c r="F210" s="3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1"/>
      <c r="C211" s="1"/>
      <c r="D211" s="1"/>
      <c r="E211" s="1"/>
      <c r="F211" s="3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1"/>
      <c r="C212" s="1"/>
      <c r="D212" s="1"/>
      <c r="E212" s="1"/>
      <c r="F212" s="3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1"/>
      <c r="C213" s="1"/>
      <c r="D213" s="1"/>
      <c r="E213" s="1"/>
      <c r="F213" s="3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1"/>
      <c r="C214" s="1"/>
      <c r="D214" s="1"/>
      <c r="E214" s="1"/>
      <c r="F214" s="3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1"/>
      <c r="C215" s="1"/>
      <c r="D215" s="1"/>
      <c r="E215" s="1"/>
      <c r="F215" s="3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1"/>
      <c r="C216" s="1"/>
      <c r="D216" s="1"/>
      <c r="E216" s="1"/>
      <c r="F216" s="3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1"/>
      <c r="C217" s="1"/>
      <c r="D217" s="1"/>
      <c r="E217" s="1"/>
      <c r="F217" s="3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1"/>
      <c r="C218" s="1"/>
      <c r="D218" s="1"/>
      <c r="E218" s="1"/>
      <c r="F218" s="3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1"/>
      <c r="C219" s="1"/>
      <c r="D219" s="1"/>
      <c r="E219" s="1"/>
      <c r="F219" s="3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1"/>
      <c r="C220" s="1"/>
      <c r="D220" s="1"/>
      <c r="E220" s="1"/>
      <c r="F220" s="3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1"/>
      <c r="C221" s="1"/>
      <c r="D221" s="1"/>
      <c r="E221" s="1"/>
      <c r="F221" s="3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1"/>
      <c r="C222" s="1"/>
      <c r="D222" s="1"/>
      <c r="E222" s="1"/>
      <c r="F222" s="3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1"/>
      <c r="C223" s="1"/>
      <c r="D223" s="1"/>
      <c r="E223" s="1"/>
      <c r="F223" s="3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1"/>
      <c r="C224" s="1"/>
      <c r="D224" s="1"/>
      <c r="E224" s="1"/>
      <c r="F224" s="3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1"/>
      <c r="C225" s="1"/>
      <c r="D225" s="1"/>
      <c r="E225" s="1"/>
      <c r="F225" s="3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1"/>
      <c r="C226" s="1"/>
      <c r="D226" s="1"/>
      <c r="E226" s="1"/>
      <c r="F226" s="3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1"/>
      <c r="C227" s="1"/>
      <c r="D227" s="1"/>
      <c r="E227" s="1"/>
      <c r="F227" s="3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1"/>
      <c r="C228" s="1"/>
      <c r="D228" s="1"/>
      <c r="E228" s="1"/>
      <c r="F228" s="3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1"/>
      <c r="C229" s="1"/>
      <c r="D229" s="1"/>
      <c r="E229" s="1"/>
      <c r="F229" s="3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1"/>
      <c r="C230" s="1"/>
      <c r="D230" s="1"/>
      <c r="E230" s="1"/>
      <c r="F230" s="3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1"/>
      <c r="C231" s="1"/>
      <c r="D231" s="1"/>
      <c r="E231" s="1"/>
      <c r="F231" s="3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1"/>
      <c r="C232" s="1"/>
      <c r="D232" s="1"/>
      <c r="E232" s="1"/>
      <c r="F232" s="3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1"/>
      <c r="C233" s="1"/>
      <c r="D233" s="1"/>
      <c r="E233" s="1"/>
      <c r="F233" s="3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1"/>
      <c r="C234" s="1"/>
      <c r="D234" s="1"/>
      <c r="E234" s="1"/>
      <c r="F234" s="3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1"/>
      <c r="C235" s="1"/>
      <c r="D235" s="1"/>
      <c r="E235" s="1"/>
      <c r="F235" s="3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1"/>
      <c r="C236" s="1"/>
      <c r="D236" s="1"/>
      <c r="E236" s="1"/>
      <c r="F236" s="3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1"/>
      <c r="C237" s="1"/>
      <c r="D237" s="1"/>
      <c r="E237" s="1"/>
      <c r="F237" s="3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1"/>
      <c r="C238" s="1"/>
      <c r="D238" s="1"/>
      <c r="E238" s="1"/>
      <c r="F238" s="3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1"/>
      <c r="C239" s="1"/>
      <c r="D239" s="1"/>
      <c r="E239" s="1"/>
      <c r="F239" s="3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1"/>
      <c r="C240" s="1"/>
      <c r="D240" s="1"/>
      <c r="E240" s="1"/>
      <c r="F240" s="3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1"/>
      <c r="C241" s="1"/>
      <c r="D241" s="1"/>
      <c r="E241" s="1"/>
      <c r="F241" s="3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1"/>
      <c r="C242" s="1"/>
      <c r="D242" s="1"/>
      <c r="E242" s="1"/>
      <c r="F242" s="3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1"/>
      <c r="C243" s="1"/>
      <c r="D243" s="1"/>
      <c r="E243" s="1"/>
      <c r="F243" s="3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1"/>
      <c r="C244" s="1"/>
      <c r="D244" s="1"/>
      <c r="E244" s="1"/>
      <c r="F244" s="3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1"/>
      <c r="C245" s="1"/>
      <c r="D245" s="1"/>
      <c r="E245" s="1"/>
      <c r="F245" s="3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1"/>
      <c r="C246" s="1"/>
      <c r="D246" s="1"/>
      <c r="E246" s="1"/>
      <c r="F246" s="3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1"/>
      <c r="C247" s="1"/>
      <c r="D247" s="1"/>
      <c r="E247" s="1"/>
      <c r="F247" s="3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1"/>
      <c r="C248" s="1"/>
      <c r="D248" s="1"/>
      <c r="E248" s="1"/>
      <c r="F248" s="3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1"/>
      <c r="C249" s="1"/>
      <c r="D249" s="1"/>
      <c r="E249" s="1"/>
      <c r="F249" s="3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1"/>
      <c r="C250" s="1"/>
      <c r="D250" s="1"/>
      <c r="E250" s="1"/>
      <c r="F250" s="3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1"/>
      <c r="C251" s="1"/>
      <c r="D251" s="1"/>
      <c r="E251" s="1"/>
      <c r="F251" s="3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1"/>
      <c r="C252" s="1"/>
      <c r="D252" s="1"/>
      <c r="E252" s="1"/>
      <c r="F252" s="3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1"/>
      <c r="C253" s="1"/>
      <c r="D253" s="1"/>
      <c r="E253" s="1"/>
      <c r="F253" s="3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1"/>
      <c r="C254" s="1"/>
      <c r="D254" s="1"/>
      <c r="E254" s="1"/>
      <c r="F254" s="3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1"/>
      <c r="C255" s="1"/>
      <c r="D255" s="1"/>
      <c r="E255" s="1"/>
      <c r="F255" s="3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1"/>
      <c r="C256" s="1"/>
      <c r="D256" s="1"/>
      <c r="E256" s="1"/>
      <c r="F256" s="3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1"/>
      <c r="C257" s="1"/>
      <c r="D257" s="1"/>
      <c r="E257" s="1"/>
      <c r="F257" s="3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1"/>
      <c r="C258" s="1"/>
      <c r="D258" s="1"/>
      <c r="E258" s="1"/>
      <c r="F258" s="3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1"/>
      <c r="C259" s="1"/>
      <c r="D259" s="1"/>
      <c r="E259" s="1"/>
      <c r="F259" s="3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1"/>
      <c r="C260" s="1"/>
      <c r="D260" s="1"/>
      <c r="E260" s="1"/>
      <c r="F260" s="3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1"/>
      <c r="C261" s="1"/>
      <c r="D261" s="1"/>
      <c r="E261" s="1"/>
      <c r="F261" s="3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1"/>
      <c r="C262" s="1"/>
      <c r="D262" s="1"/>
      <c r="E262" s="1"/>
      <c r="F262" s="3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1"/>
      <c r="C263" s="1"/>
      <c r="D263" s="1"/>
      <c r="E263" s="1"/>
      <c r="F263" s="3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1"/>
      <c r="C264" s="1"/>
      <c r="D264" s="1"/>
      <c r="E264" s="1"/>
      <c r="F264" s="3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1"/>
      <c r="C265" s="1"/>
      <c r="D265" s="1"/>
      <c r="E265" s="1"/>
      <c r="F265" s="3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1"/>
      <c r="C266" s="1"/>
      <c r="D266" s="1"/>
      <c r="E266" s="1"/>
      <c r="F266" s="3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1"/>
      <c r="C267" s="1"/>
      <c r="D267" s="1"/>
      <c r="E267" s="1"/>
      <c r="F267" s="3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1"/>
      <c r="C268" s="1"/>
      <c r="D268" s="1"/>
      <c r="E268" s="1"/>
      <c r="F268" s="3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1"/>
      <c r="C269" s="1"/>
      <c r="D269" s="1"/>
      <c r="E269" s="1"/>
      <c r="F269" s="3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1"/>
      <c r="C270" s="1"/>
      <c r="D270" s="1"/>
      <c r="E270" s="1"/>
      <c r="F270" s="3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1"/>
      <c r="C271" s="1"/>
      <c r="D271" s="1"/>
      <c r="E271" s="1"/>
      <c r="F271" s="3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1"/>
      <c r="C272" s="1"/>
      <c r="D272" s="1"/>
      <c r="E272" s="1"/>
      <c r="F272" s="3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1"/>
      <c r="C273" s="1"/>
      <c r="D273" s="1"/>
      <c r="E273" s="1"/>
      <c r="F273" s="3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1"/>
      <c r="C274" s="1"/>
      <c r="D274" s="1"/>
      <c r="E274" s="1"/>
      <c r="F274" s="3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1"/>
      <c r="C275" s="1"/>
      <c r="D275" s="1"/>
      <c r="E275" s="1"/>
      <c r="F275" s="3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1"/>
      <c r="C276" s="1"/>
      <c r="D276" s="1"/>
      <c r="E276" s="1"/>
      <c r="F276" s="3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1"/>
      <c r="C277" s="1"/>
      <c r="D277" s="1"/>
      <c r="E277" s="1"/>
      <c r="F277" s="3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1"/>
      <c r="C278" s="1"/>
      <c r="D278" s="1"/>
      <c r="E278" s="1"/>
      <c r="F278" s="3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1"/>
      <c r="C279" s="1"/>
      <c r="D279" s="1"/>
      <c r="E279" s="1"/>
      <c r="F279" s="3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1"/>
      <c r="C280" s="1"/>
      <c r="D280" s="1"/>
      <c r="E280" s="1"/>
      <c r="F280" s="3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1"/>
      <c r="C281" s="1"/>
      <c r="D281" s="1"/>
      <c r="E281" s="1"/>
      <c r="F281" s="3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1"/>
      <c r="C282" s="1"/>
      <c r="D282" s="1"/>
      <c r="E282" s="1"/>
      <c r="F282" s="3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1"/>
      <c r="C283" s="1"/>
      <c r="D283" s="1"/>
      <c r="E283" s="1"/>
      <c r="F283" s="3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1"/>
      <c r="D284" s="1"/>
      <c r="E284" s="1"/>
      <c r="F284" s="3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1"/>
      <c r="D285" s="1"/>
      <c r="E285" s="1"/>
      <c r="F285" s="3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1"/>
      <c r="D286" s="1"/>
      <c r="E286" s="1"/>
      <c r="F286" s="3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1"/>
      <c r="D287" s="1"/>
      <c r="E287" s="1"/>
      <c r="F287" s="3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1"/>
      <c r="D288" s="1"/>
      <c r="E288" s="1"/>
      <c r="F288" s="3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1"/>
      <c r="D289" s="1"/>
      <c r="E289" s="1"/>
      <c r="F289" s="3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1"/>
      <c r="D290" s="1"/>
      <c r="E290" s="1"/>
      <c r="F290" s="3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1"/>
      <c r="D291" s="1"/>
      <c r="E291" s="1"/>
      <c r="F291" s="3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1"/>
      <c r="D292" s="1"/>
      <c r="E292" s="1"/>
      <c r="F292" s="3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1"/>
      <c r="D293" s="1"/>
      <c r="E293" s="1"/>
      <c r="F293" s="3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1"/>
      <c r="D294" s="1"/>
      <c r="E294" s="1"/>
      <c r="F294" s="3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1"/>
      <c r="D295" s="1"/>
      <c r="E295" s="1"/>
      <c r="F295" s="3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1"/>
      <c r="D296" s="1"/>
      <c r="E296" s="1"/>
      <c r="F296" s="3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1"/>
      <c r="D297" s="1"/>
      <c r="E297" s="1"/>
      <c r="F297" s="3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1"/>
      <c r="D298" s="1"/>
      <c r="E298" s="1"/>
      <c r="F298" s="3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1"/>
      <c r="D299" s="1"/>
      <c r="E299" s="1"/>
      <c r="F299" s="3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1"/>
      <c r="D300" s="1"/>
      <c r="E300" s="1"/>
      <c r="F300" s="3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1"/>
      <c r="D301" s="1"/>
      <c r="E301" s="1"/>
      <c r="F301" s="3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1"/>
      <c r="D302" s="1"/>
      <c r="E302" s="1"/>
      <c r="F302" s="3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1"/>
      <c r="D303" s="1"/>
      <c r="E303" s="1"/>
      <c r="F303" s="3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1"/>
      <c r="D304" s="1"/>
      <c r="E304" s="1"/>
      <c r="F304" s="3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1"/>
      <c r="D305" s="1"/>
      <c r="E305" s="1"/>
      <c r="F305" s="3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1"/>
      <c r="D306" s="1"/>
      <c r="E306" s="1"/>
      <c r="F306" s="3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1"/>
      <c r="D307" s="1"/>
      <c r="E307" s="1"/>
      <c r="F307" s="3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1"/>
      <c r="D308" s="1"/>
      <c r="E308" s="1"/>
      <c r="F308" s="3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1"/>
      <c r="D309" s="1"/>
      <c r="E309" s="1"/>
      <c r="F309" s="3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1"/>
      <c r="D310" s="1"/>
      <c r="E310" s="1"/>
      <c r="F310" s="3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1"/>
      <c r="D311" s="1"/>
      <c r="E311" s="1"/>
      <c r="F311" s="3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1"/>
      <c r="D312" s="1"/>
      <c r="E312" s="1"/>
      <c r="F312" s="3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1"/>
      <c r="D313" s="1"/>
      <c r="E313" s="1"/>
      <c r="F313" s="3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1"/>
      <c r="D314" s="1"/>
      <c r="E314" s="1"/>
      <c r="F314" s="3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1"/>
      <c r="D315" s="1"/>
      <c r="E315" s="1"/>
      <c r="F315" s="3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1"/>
      <c r="D316" s="1"/>
      <c r="E316" s="1"/>
      <c r="F316" s="3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1"/>
      <c r="D317" s="1"/>
      <c r="E317" s="1"/>
      <c r="F317" s="3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1"/>
      <c r="D318" s="1"/>
      <c r="E318" s="1"/>
      <c r="F318" s="3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1"/>
      <c r="D319" s="1"/>
      <c r="E319" s="1"/>
      <c r="F319" s="3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1"/>
      <c r="D320" s="1"/>
      <c r="E320" s="1"/>
      <c r="F320" s="3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1"/>
      <c r="D321" s="1"/>
      <c r="E321" s="1"/>
      <c r="F321" s="3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1"/>
      <c r="D322" s="1"/>
      <c r="E322" s="1"/>
      <c r="F322" s="3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1"/>
      <c r="D323" s="1"/>
      <c r="E323" s="1"/>
      <c r="F323" s="3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1"/>
      <c r="D324" s="1"/>
      <c r="E324" s="1"/>
      <c r="F324" s="3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1"/>
      <c r="D325" s="1"/>
      <c r="E325" s="1"/>
      <c r="F325" s="3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1"/>
      <c r="D326" s="1"/>
      <c r="E326" s="1"/>
      <c r="F326" s="3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1"/>
      <c r="D327" s="1"/>
      <c r="E327" s="1"/>
      <c r="F327" s="3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1"/>
      <c r="D328" s="1"/>
      <c r="E328" s="1"/>
      <c r="F328" s="3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1"/>
      <c r="D329" s="1"/>
      <c r="E329" s="1"/>
      <c r="F329" s="3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1"/>
      <c r="D330" s="1"/>
      <c r="E330" s="1"/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1"/>
      <c r="D331" s="1"/>
      <c r="E331" s="1"/>
      <c r="F331" s="3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1"/>
      <c r="D332" s="1"/>
      <c r="E332" s="1"/>
      <c r="F332" s="3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1"/>
      <c r="D333" s="1"/>
      <c r="E333" s="1"/>
      <c r="F333" s="3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1"/>
      <c r="D334" s="1"/>
      <c r="E334" s="1"/>
      <c r="F334" s="3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1"/>
      <c r="D335" s="1"/>
      <c r="E335" s="1"/>
      <c r="F335" s="3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1"/>
      <c r="D336" s="1"/>
      <c r="E336" s="1"/>
      <c r="F336" s="3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1"/>
      <c r="D337" s="1"/>
      <c r="E337" s="1"/>
      <c r="F337" s="3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1"/>
      <c r="D338" s="1"/>
      <c r="E338" s="1"/>
      <c r="F338" s="3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1"/>
      <c r="D339" s="1"/>
      <c r="E339" s="1"/>
      <c r="F339" s="3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1"/>
      <c r="D340" s="1"/>
      <c r="E340" s="1"/>
      <c r="F340" s="3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1"/>
      <c r="D341" s="1"/>
      <c r="E341" s="1"/>
      <c r="F341" s="3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1"/>
      <c r="D342" s="1"/>
      <c r="E342" s="1"/>
      <c r="F342" s="3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1"/>
      <c r="D343" s="1"/>
      <c r="E343" s="1"/>
      <c r="F343" s="3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1"/>
      <c r="D344" s="1"/>
      <c r="E344" s="1"/>
      <c r="F344" s="3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1"/>
      <c r="D345" s="1"/>
      <c r="E345" s="1"/>
      <c r="F345" s="3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1"/>
      <c r="D346" s="1"/>
      <c r="E346" s="1"/>
      <c r="F346" s="3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1"/>
      <c r="D347" s="1"/>
      <c r="E347" s="1"/>
      <c r="F347" s="3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1"/>
      <c r="D348" s="1"/>
      <c r="E348" s="1"/>
      <c r="F348" s="3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1"/>
      <c r="D349" s="1"/>
      <c r="E349" s="1"/>
      <c r="F349" s="3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1"/>
      <c r="D350" s="1"/>
      <c r="E350" s="1"/>
      <c r="F350" s="3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1"/>
      <c r="D351" s="1"/>
      <c r="E351" s="1"/>
      <c r="F351" s="3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1"/>
      <c r="D352" s="1"/>
      <c r="E352" s="1"/>
      <c r="F352" s="3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1"/>
      <c r="D353" s="1"/>
      <c r="E353" s="1"/>
      <c r="F353" s="3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1"/>
      <c r="D354" s="1"/>
      <c r="E354" s="1"/>
      <c r="F354" s="3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1"/>
      <c r="D355" s="1"/>
      <c r="E355" s="1"/>
      <c r="F355" s="3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1"/>
      <c r="D356" s="1"/>
      <c r="E356" s="1"/>
      <c r="F356" s="3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1"/>
      <c r="D357" s="1"/>
      <c r="E357" s="1"/>
      <c r="F357" s="3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1"/>
      <c r="D358" s="1"/>
      <c r="E358" s="1"/>
      <c r="F358" s="3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1"/>
      <c r="D359" s="1"/>
      <c r="E359" s="1"/>
      <c r="F359" s="3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1"/>
      <c r="D360" s="1"/>
      <c r="E360" s="1"/>
      <c r="F360" s="3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1"/>
      <c r="D361" s="1"/>
      <c r="E361" s="1"/>
      <c r="F361" s="3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1"/>
      <c r="D362" s="1"/>
      <c r="E362" s="1"/>
      <c r="F362" s="3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1"/>
      <c r="D363" s="1"/>
      <c r="E363" s="1"/>
      <c r="F363" s="3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1"/>
      <c r="D364" s="1"/>
      <c r="E364" s="1"/>
      <c r="F364" s="3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1"/>
      <c r="D365" s="1"/>
      <c r="E365" s="1"/>
      <c r="F365" s="3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1"/>
      <c r="D366" s="1"/>
      <c r="E366" s="1"/>
      <c r="F366" s="3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1"/>
      <c r="D367" s="1"/>
      <c r="E367" s="1"/>
      <c r="F367" s="3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1"/>
      <c r="D368" s="1"/>
      <c r="E368" s="1"/>
      <c r="F368" s="3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1"/>
      <c r="D369" s="1"/>
      <c r="E369" s="1"/>
      <c r="F369" s="3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1"/>
      <c r="D370" s="1"/>
      <c r="E370" s="1"/>
      <c r="F370" s="3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1"/>
      <c r="D371" s="1"/>
      <c r="E371" s="1"/>
      <c r="F371" s="3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1"/>
      <c r="D372" s="1"/>
      <c r="E372" s="1"/>
      <c r="F372" s="3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1"/>
      <c r="D373" s="1"/>
      <c r="E373" s="1"/>
      <c r="F373" s="3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1"/>
      <c r="D374" s="1"/>
      <c r="E374" s="1"/>
      <c r="F374" s="3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1"/>
      <c r="D375" s="1"/>
      <c r="E375" s="1"/>
      <c r="F375" s="3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1"/>
      <c r="D376" s="1"/>
      <c r="E376" s="1"/>
      <c r="F376" s="3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1"/>
      <c r="D377" s="1"/>
      <c r="E377" s="1"/>
      <c r="F377" s="3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1"/>
      <c r="D378" s="1"/>
      <c r="E378" s="1"/>
      <c r="F378" s="3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1"/>
      <c r="D379" s="1"/>
      <c r="E379" s="1"/>
      <c r="F379" s="3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1"/>
      <c r="D380" s="1"/>
      <c r="E380" s="1"/>
      <c r="F380" s="3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1"/>
      <c r="D381" s="1"/>
      <c r="E381" s="1"/>
      <c r="F381" s="3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1"/>
      <c r="D382" s="1"/>
      <c r="E382" s="1"/>
      <c r="F382" s="3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1"/>
      <c r="D383" s="1"/>
      <c r="E383" s="1"/>
      <c r="F383" s="3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1"/>
      <c r="D384" s="1"/>
      <c r="E384" s="1"/>
      <c r="F384" s="3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1"/>
      <c r="D385" s="1"/>
      <c r="E385" s="1"/>
      <c r="F385" s="3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1"/>
      <c r="D386" s="1"/>
      <c r="E386" s="1"/>
      <c r="F386" s="3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1"/>
      <c r="D387" s="1"/>
      <c r="E387" s="1"/>
      <c r="F387" s="3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1"/>
      <c r="D388" s="1"/>
      <c r="E388" s="1"/>
      <c r="F388" s="3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1"/>
      <c r="D389" s="1"/>
      <c r="E389" s="1"/>
      <c r="F389" s="3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1"/>
      <c r="D390" s="1"/>
      <c r="E390" s="1"/>
      <c r="F390" s="3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1"/>
      <c r="D391" s="1"/>
      <c r="E391" s="1"/>
      <c r="F391" s="3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1"/>
      <c r="D392" s="1"/>
      <c r="E392" s="1"/>
      <c r="F392" s="3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1"/>
      <c r="D393" s="1"/>
      <c r="E393" s="1"/>
      <c r="F393" s="3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1"/>
      <c r="D394" s="1"/>
      <c r="E394" s="1"/>
      <c r="F394" s="3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1"/>
      <c r="D395" s="1"/>
      <c r="E395" s="1"/>
      <c r="F395" s="3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1"/>
      <c r="D396" s="1"/>
      <c r="E396" s="1"/>
      <c r="F396" s="3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1"/>
      <c r="D397" s="1"/>
      <c r="E397" s="1"/>
      <c r="F397" s="3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1"/>
      <c r="D398" s="1"/>
      <c r="E398" s="1"/>
      <c r="F398" s="3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1"/>
      <c r="D399" s="1"/>
      <c r="E399" s="1"/>
      <c r="F399" s="3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1"/>
      <c r="D400" s="1"/>
      <c r="E400" s="1"/>
      <c r="F400" s="3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1"/>
      <c r="D401" s="1"/>
      <c r="E401" s="1"/>
      <c r="F401" s="3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1"/>
      <c r="D402" s="1"/>
      <c r="E402" s="1"/>
      <c r="F402" s="3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1"/>
      <c r="D403" s="1"/>
      <c r="E403" s="1"/>
      <c r="F403" s="3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1"/>
      <c r="D404" s="1"/>
      <c r="E404" s="1"/>
      <c r="F404" s="3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1"/>
      <c r="D405" s="1"/>
      <c r="E405" s="1"/>
      <c r="F405" s="3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1"/>
      <c r="D406" s="1"/>
      <c r="E406" s="1"/>
      <c r="F406" s="3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1"/>
      <c r="D407" s="1"/>
      <c r="E407" s="1"/>
      <c r="F407" s="3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1"/>
      <c r="D408" s="1"/>
      <c r="E408" s="1"/>
      <c r="F408" s="3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1"/>
      <c r="D409" s="1"/>
      <c r="E409" s="1"/>
      <c r="F409" s="3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1"/>
      <c r="D410" s="1"/>
      <c r="E410" s="1"/>
      <c r="F410" s="3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1"/>
      <c r="D411" s="1"/>
      <c r="E411" s="1"/>
      <c r="F411" s="3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1"/>
      <c r="D412" s="1"/>
      <c r="E412" s="1"/>
      <c r="F412" s="3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1"/>
      <c r="D413" s="1"/>
      <c r="E413" s="1"/>
      <c r="F413" s="3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1"/>
      <c r="D414" s="1"/>
      <c r="E414" s="1"/>
      <c r="F414" s="3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1"/>
      <c r="D415" s="1"/>
      <c r="E415" s="1"/>
      <c r="F415" s="3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1"/>
      <c r="D416" s="1"/>
      <c r="E416" s="1"/>
      <c r="F416" s="3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1"/>
      <c r="D417" s="1"/>
      <c r="E417" s="1"/>
      <c r="F417" s="3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1"/>
      <c r="D418" s="1"/>
      <c r="E418" s="1"/>
      <c r="F418" s="3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1"/>
      <c r="D419" s="1"/>
      <c r="E419" s="1"/>
      <c r="F419" s="3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1"/>
      <c r="D420" s="1"/>
      <c r="E420" s="1"/>
      <c r="F420" s="3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1"/>
      <c r="D421" s="1"/>
      <c r="E421" s="1"/>
      <c r="F421" s="3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1"/>
      <c r="D422" s="1"/>
      <c r="E422" s="1"/>
      <c r="F422" s="3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1"/>
      <c r="D423" s="1"/>
      <c r="E423" s="1"/>
      <c r="F423" s="3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1"/>
      <c r="D424" s="1"/>
      <c r="E424" s="1"/>
      <c r="F424" s="3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1"/>
      <c r="D425" s="1"/>
      <c r="E425" s="1"/>
      <c r="F425" s="3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1"/>
      <c r="D426" s="1"/>
      <c r="E426" s="1"/>
      <c r="F426" s="3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1"/>
      <c r="D427" s="1"/>
      <c r="E427" s="1"/>
      <c r="F427" s="3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1"/>
      <c r="D428" s="1"/>
      <c r="E428" s="1"/>
      <c r="F428" s="3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1"/>
      <c r="D429" s="1"/>
      <c r="E429" s="1"/>
      <c r="F429" s="3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1"/>
      <c r="D430" s="1"/>
      <c r="E430" s="1"/>
      <c r="F430" s="3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1"/>
      <c r="D431" s="1"/>
      <c r="E431" s="1"/>
      <c r="F431" s="3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1"/>
      <c r="D432" s="1"/>
      <c r="E432" s="1"/>
      <c r="F432" s="3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1"/>
      <c r="D433" s="1"/>
      <c r="E433" s="1"/>
      <c r="F433" s="3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1"/>
      <c r="D434" s="1"/>
      <c r="E434" s="1"/>
      <c r="F434" s="3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1"/>
      <c r="D435" s="1"/>
      <c r="E435" s="1"/>
      <c r="F435" s="3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1"/>
      <c r="D436" s="1"/>
      <c r="E436" s="1"/>
      <c r="F436" s="3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1"/>
      <c r="D437" s="1"/>
      <c r="E437" s="1"/>
      <c r="F437" s="3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1"/>
      <c r="D438" s="1"/>
      <c r="E438" s="1"/>
      <c r="F438" s="3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1"/>
      <c r="D439" s="1"/>
      <c r="E439" s="1"/>
      <c r="F439" s="3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1"/>
      <c r="D440" s="1"/>
      <c r="E440" s="1"/>
      <c r="F440" s="3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1"/>
      <c r="D441" s="1"/>
      <c r="E441" s="1"/>
      <c r="F441" s="3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1"/>
      <c r="D442" s="1"/>
      <c r="E442" s="1"/>
      <c r="F442" s="3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1"/>
      <c r="D443" s="1"/>
      <c r="E443" s="1"/>
      <c r="F443" s="3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1"/>
      <c r="D444" s="1"/>
      <c r="E444" s="1"/>
      <c r="F444" s="3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1"/>
      <c r="D445" s="1"/>
      <c r="E445" s="1"/>
      <c r="F445" s="3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1"/>
      <c r="D446" s="1"/>
      <c r="E446" s="1"/>
      <c r="F446" s="3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1"/>
      <c r="D447" s="1"/>
      <c r="E447" s="1"/>
      <c r="F447" s="3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1"/>
      <c r="D448" s="1"/>
      <c r="E448" s="1"/>
      <c r="F448" s="3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1"/>
      <c r="D449" s="1"/>
      <c r="E449" s="1"/>
      <c r="F449" s="3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1"/>
      <c r="D450" s="1"/>
      <c r="E450" s="1"/>
      <c r="F450" s="3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1"/>
      <c r="D451" s="1"/>
      <c r="E451" s="1"/>
      <c r="F451" s="3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1"/>
      <c r="D452" s="1"/>
      <c r="E452" s="1"/>
      <c r="F452" s="3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1"/>
      <c r="D453" s="1"/>
      <c r="E453" s="1"/>
      <c r="F453" s="3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1"/>
      <c r="D454" s="1"/>
      <c r="E454" s="1"/>
      <c r="F454" s="3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1"/>
      <c r="D455" s="1"/>
      <c r="E455" s="1"/>
      <c r="F455" s="3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1"/>
      <c r="D456" s="1"/>
      <c r="E456" s="1"/>
      <c r="F456" s="3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1"/>
      <c r="D457" s="1"/>
      <c r="E457" s="1"/>
      <c r="F457" s="3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1"/>
      <c r="D458" s="1"/>
      <c r="E458" s="1"/>
      <c r="F458" s="3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1"/>
      <c r="D459" s="1"/>
      <c r="E459" s="1"/>
      <c r="F459" s="3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1"/>
      <c r="D460" s="1"/>
      <c r="E460" s="1"/>
      <c r="F460" s="3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1"/>
      <c r="D461" s="1"/>
      <c r="E461" s="1"/>
      <c r="F461" s="3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1"/>
      <c r="D462" s="1"/>
      <c r="E462" s="1"/>
      <c r="F462" s="3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1"/>
      <c r="D463" s="1"/>
      <c r="E463" s="1"/>
      <c r="F463" s="3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1"/>
      <c r="D464" s="1"/>
      <c r="E464" s="1"/>
      <c r="F464" s="3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1"/>
      <c r="D465" s="1"/>
      <c r="E465" s="1"/>
      <c r="F465" s="3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1"/>
      <c r="D466" s="1"/>
      <c r="E466" s="1"/>
      <c r="F466" s="3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1"/>
      <c r="D467" s="1"/>
      <c r="E467" s="1"/>
      <c r="F467" s="3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1"/>
      <c r="D468" s="1"/>
      <c r="E468" s="1"/>
      <c r="F468" s="3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1"/>
      <c r="D469" s="1"/>
      <c r="E469" s="1"/>
      <c r="F469" s="3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1"/>
      <c r="D470" s="1"/>
      <c r="E470" s="1"/>
      <c r="F470" s="3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1"/>
      <c r="D471" s="1"/>
      <c r="E471" s="1"/>
      <c r="F471" s="3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1"/>
      <c r="D472" s="1"/>
      <c r="E472" s="1"/>
      <c r="F472" s="3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1"/>
      <c r="D473" s="1"/>
      <c r="E473" s="1"/>
      <c r="F473" s="3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1"/>
      <c r="D474" s="1"/>
      <c r="E474" s="1"/>
      <c r="F474" s="3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1"/>
      <c r="D475" s="1"/>
      <c r="E475" s="1"/>
      <c r="F475" s="3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1"/>
      <c r="D476" s="1"/>
      <c r="E476" s="1"/>
      <c r="F476" s="3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1"/>
      <c r="D477" s="1"/>
      <c r="E477" s="1"/>
      <c r="F477" s="3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1"/>
      <c r="D478" s="1"/>
      <c r="E478" s="1"/>
      <c r="F478" s="3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1"/>
      <c r="D479" s="1"/>
      <c r="E479" s="1"/>
      <c r="F479" s="3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1"/>
      <c r="D480" s="1"/>
      <c r="E480" s="1"/>
      <c r="F480" s="3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1"/>
      <c r="D481" s="1"/>
      <c r="E481" s="1"/>
      <c r="F481" s="3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1"/>
      <c r="D482" s="1"/>
      <c r="E482" s="1"/>
      <c r="F482" s="3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1"/>
      <c r="D483" s="1"/>
      <c r="E483" s="1"/>
      <c r="F483" s="3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1"/>
      <c r="D484" s="1"/>
      <c r="E484" s="1"/>
      <c r="F484" s="3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1"/>
      <c r="D485" s="1"/>
      <c r="E485" s="1"/>
      <c r="F485" s="3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1"/>
      <c r="D486" s="1"/>
      <c r="E486" s="1"/>
      <c r="F486" s="3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1"/>
      <c r="D487" s="1"/>
      <c r="E487" s="1"/>
      <c r="F487" s="3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1"/>
      <c r="D488" s="1"/>
      <c r="E488" s="1"/>
      <c r="F488" s="3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1"/>
      <c r="D489" s="1"/>
      <c r="E489" s="1"/>
      <c r="F489" s="3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1"/>
      <c r="D490" s="1"/>
      <c r="E490" s="1"/>
      <c r="F490" s="3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1"/>
      <c r="D491" s="1"/>
      <c r="E491" s="1"/>
      <c r="F491" s="3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1"/>
      <c r="D492" s="1"/>
      <c r="E492" s="1"/>
      <c r="F492" s="3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1"/>
      <c r="D493" s="1"/>
      <c r="E493" s="1"/>
      <c r="F493" s="3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1"/>
      <c r="D494" s="1"/>
      <c r="E494" s="1"/>
      <c r="F494" s="3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1"/>
      <c r="D495" s="1"/>
      <c r="E495" s="1"/>
      <c r="F495" s="3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1"/>
      <c r="D496" s="1"/>
      <c r="E496" s="1"/>
      <c r="F496" s="3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1"/>
      <c r="D497" s="1"/>
      <c r="E497" s="1"/>
      <c r="F497" s="3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1"/>
      <c r="D498" s="1"/>
      <c r="E498" s="1"/>
      <c r="F498" s="3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1"/>
      <c r="D499" s="1"/>
      <c r="E499" s="1"/>
      <c r="F499" s="3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1"/>
      <c r="D500" s="1"/>
      <c r="E500" s="1"/>
      <c r="F500" s="3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1"/>
      <c r="D501" s="1"/>
      <c r="E501" s="1"/>
      <c r="F501" s="3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1"/>
      <c r="D502" s="1"/>
      <c r="E502" s="1"/>
      <c r="F502" s="3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1"/>
      <c r="D503" s="1"/>
      <c r="E503" s="1"/>
      <c r="F503" s="3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1"/>
      <c r="D504" s="1"/>
      <c r="E504" s="1"/>
      <c r="F504" s="3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1"/>
      <c r="D505" s="1"/>
      <c r="E505" s="1"/>
      <c r="F505" s="3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1"/>
      <c r="D506" s="1"/>
      <c r="E506" s="1"/>
      <c r="F506" s="3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1"/>
      <c r="D507" s="1"/>
      <c r="E507" s="1"/>
      <c r="F507" s="3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1"/>
      <c r="D508" s="1"/>
      <c r="E508" s="1"/>
      <c r="F508" s="3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1"/>
      <c r="D509" s="1"/>
      <c r="E509" s="1"/>
      <c r="F509" s="3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1"/>
      <c r="D510" s="1"/>
      <c r="E510" s="1"/>
      <c r="F510" s="3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1"/>
      <c r="D511" s="1"/>
      <c r="E511" s="1"/>
      <c r="F511" s="3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1"/>
      <c r="D512" s="1"/>
      <c r="E512" s="1"/>
      <c r="F512" s="3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1"/>
      <c r="D513" s="1"/>
      <c r="E513" s="1"/>
      <c r="F513" s="3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1"/>
      <c r="D514" s="1"/>
      <c r="E514" s="1"/>
      <c r="F514" s="3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1"/>
      <c r="D515" s="1"/>
      <c r="E515" s="1"/>
      <c r="F515" s="3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1"/>
      <c r="D516" s="1"/>
      <c r="E516" s="1"/>
      <c r="F516" s="3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1"/>
      <c r="D517" s="1"/>
      <c r="E517" s="1"/>
      <c r="F517" s="3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1"/>
      <c r="D518" s="1"/>
      <c r="E518" s="1"/>
      <c r="F518" s="3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1"/>
      <c r="D519" s="1"/>
      <c r="E519" s="1"/>
      <c r="F519" s="3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1"/>
      <c r="D520" s="1"/>
      <c r="E520" s="1"/>
      <c r="F520" s="3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1"/>
      <c r="D521" s="1"/>
      <c r="E521" s="1"/>
      <c r="F521" s="3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1"/>
      <c r="D522" s="1"/>
      <c r="E522" s="1"/>
      <c r="F522" s="3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1"/>
      <c r="D523" s="1"/>
      <c r="E523" s="1"/>
      <c r="F523" s="3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1"/>
      <c r="D524" s="1"/>
      <c r="E524" s="1"/>
      <c r="F524" s="3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1"/>
      <c r="D525" s="1"/>
      <c r="E525" s="1"/>
      <c r="F525" s="3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1"/>
      <c r="D526" s="1"/>
      <c r="E526" s="1"/>
      <c r="F526" s="3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1"/>
      <c r="D527" s="1"/>
      <c r="E527" s="1"/>
      <c r="F527" s="3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1"/>
      <c r="D528" s="1"/>
      <c r="E528" s="1"/>
      <c r="F528" s="3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1"/>
      <c r="D529" s="1"/>
      <c r="E529" s="1"/>
      <c r="F529" s="3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1"/>
      <c r="D530" s="1"/>
      <c r="E530" s="1"/>
      <c r="F530" s="3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1"/>
      <c r="D531" s="1"/>
      <c r="E531" s="1"/>
      <c r="F531" s="3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1"/>
      <c r="D532" s="1"/>
      <c r="E532" s="1"/>
      <c r="F532" s="3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1"/>
      <c r="D533" s="1"/>
      <c r="E533" s="1"/>
      <c r="F533" s="3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1"/>
      <c r="D534" s="1"/>
      <c r="E534" s="1"/>
      <c r="F534" s="3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1"/>
      <c r="D535" s="1"/>
      <c r="E535" s="1"/>
      <c r="F535" s="3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1"/>
      <c r="D536" s="1"/>
      <c r="E536" s="1"/>
      <c r="F536" s="3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1"/>
      <c r="D537" s="1"/>
      <c r="E537" s="1"/>
      <c r="F537" s="3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1"/>
      <c r="D538" s="1"/>
      <c r="E538" s="1"/>
      <c r="F538" s="3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1"/>
      <c r="D539" s="1"/>
      <c r="E539" s="1"/>
      <c r="F539" s="3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1"/>
      <c r="D540" s="1"/>
      <c r="E540" s="1"/>
      <c r="F540" s="3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1"/>
      <c r="D541" s="1"/>
      <c r="E541" s="1"/>
      <c r="F541" s="3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1"/>
      <c r="D542" s="1"/>
      <c r="E542" s="1"/>
      <c r="F542" s="3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1"/>
      <c r="D543" s="1"/>
      <c r="E543" s="1"/>
      <c r="F543" s="3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1"/>
      <c r="D544" s="1"/>
      <c r="E544" s="1"/>
      <c r="F544" s="3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1"/>
      <c r="D545" s="1"/>
      <c r="E545" s="1"/>
      <c r="F545" s="3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1"/>
      <c r="D546" s="1"/>
      <c r="E546" s="1"/>
      <c r="F546" s="3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1"/>
      <c r="D547" s="1"/>
      <c r="E547" s="1"/>
      <c r="F547" s="3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1"/>
      <c r="D548" s="1"/>
      <c r="E548" s="1"/>
      <c r="F548" s="3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1"/>
      <c r="D549" s="1"/>
      <c r="E549" s="1"/>
      <c r="F549" s="3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1"/>
      <c r="D550" s="1"/>
      <c r="E550" s="1"/>
      <c r="F550" s="3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1"/>
      <c r="D551" s="1"/>
      <c r="E551" s="1"/>
      <c r="F551" s="3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1"/>
      <c r="D552" s="1"/>
      <c r="E552" s="1"/>
      <c r="F552" s="3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1"/>
      <c r="D553" s="1"/>
      <c r="E553" s="1"/>
      <c r="F553" s="3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1"/>
      <c r="D554" s="1"/>
      <c r="E554" s="1"/>
      <c r="F554" s="3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1"/>
      <c r="D555" s="1"/>
      <c r="E555" s="1"/>
      <c r="F555" s="3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1"/>
      <c r="D556" s="1"/>
      <c r="E556" s="1"/>
      <c r="F556" s="3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1"/>
      <c r="D557" s="1"/>
      <c r="E557" s="1"/>
      <c r="F557" s="3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1"/>
      <c r="D558" s="1"/>
      <c r="E558" s="1"/>
      <c r="F558" s="3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1"/>
      <c r="D559" s="1"/>
      <c r="E559" s="1"/>
      <c r="F559" s="3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1"/>
      <c r="D560" s="1"/>
      <c r="E560" s="1"/>
      <c r="F560" s="3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1"/>
      <c r="D561" s="1"/>
      <c r="E561" s="1"/>
      <c r="F561" s="3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1"/>
      <c r="D562" s="1"/>
      <c r="E562" s="1"/>
      <c r="F562" s="3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1"/>
      <c r="D563" s="1"/>
      <c r="E563" s="1"/>
      <c r="F563" s="3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1"/>
      <c r="D564" s="1"/>
      <c r="E564" s="1"/>
      <c r="F564" s="3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1"/>
      <c r="D565" s="1"/>
      <c r="E565" s="1"/>
      <c r="F565" s="3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1"/>
      <c r="D566" s="1"/>
      <c r="E566" s="1"/>
      <c r="F566" s="3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1"/>
      <c r="D567" s="1"/>
      <c r="E567" s="1"/>
      <c r="F567" s="3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1"/>
      <c r="D568" s="1"/>
      <c r="E568" s="1"/>
      <c r="F568" s="3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1"/>
      <c r="D569" s="1"/>
      <c r="E569" s="1"/>
      <c r="F569" s="3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1"/>
      <c r="D570" s="1"/>
      <c r="E570" s="1"/>
      <c r="F570" s="3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1"/>
      <c r="D571" s="1"/>
      <c r="E571" s="1"/>
      <c r="F571" s="3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1"/>
      <c r="D572" s="1"/>
      <c r="E572" s="1"/>
      <c r="F572" s="3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1"/>
      <c r="D573" s="1"/>
      <c r="E573" s="1"/>
      <c r="F573" s="3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1"/>
      <c r="D574" s="1"/>
      <c r="E574" s="1"/>
      <c r="F574" s="3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1"/>
      <c r="D575" s="1"/>
      <c r="E575" s="1"/>
      <c r="F575" s="3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1"/>
      <c r="D576" s="1"/>
      <c r="E576" s="1"/>
      <c r="F576" s="3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1"/>
      <c r="D577" s="1"/>
      <c r="E577" s="1"/>
      <c r="F577" s="3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1"/>
      <c r="D578" s="1"/>
      <c r="E578" s="1"/>
      <c r="F578" s="3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1"/>
      <c r="D579" s="1"/>
      <c r="E579" s="1"/>
      <c r="F579" s="3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1"/>
      <c r="D580" s="1"/>
      <c r="E580" s="1"/>
      <c r="F580" s="3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1"/>
      <c r="D581" s="1"/>
      <c r="E581" s="1"/>
      <c r="F581" s="3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1"/>
      <c r="D582" s="1"/>
      <c r="E582" s="1"/>
      <c r="F582" s="3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1"/>
      <c r="D583" s="1"/>
      <c r="E583" s="1"/>
      <c r="F583" s="3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1"/>
      <c r="D584" s="1"/>
      <c r="E584" s="1"/>
      <c r="F584" s="3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1"/>
      <c r="D585" s="1"/>
      <c r="E585" s="1"/>
      <c r="F585" s="3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1"/>
      <c r="D586" s="1"/>
      <c r="E586" s="1"/>
      <c r="F586" s="3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1"/>
      <c r="D587" s="1"/>
      <c r="E587" s="1"/>
      <c r="F587" s="3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1"/>
      <c r="D588" s="1"/>
      <c r="E588" s="1"/>
      <c r="F588" s="3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1"/>
      <c r="D589" s="1"/>
      <c r="E589" s="1"/>
      <c r="F589" s="3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1"/>
      <c r="D590" s="1"/>
      <c r="E590" s="1"/>
      <c r="F590" s="3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1"/>
      <c r="D591" s="1"/>
      <c r="E591" s="1"/>
      <c r="F591" s="3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1"/>
      <c r="D592" s="1"/>
      <c r="E592" s="1"/>
      <c r="F592" s="3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1"/>
      <c r="D593" s="1"/>
      <c r="E593" s="1"/>
      <c r="F593" s="3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1"/>
      <c r="D594" s="1"/>
      <c r="E594" s="1"/>
      <c r="F594" s="3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1"/>
      <c r="D595" s="1"/>
      <c r="E595" s="1"/>
      <c r="F595" s="3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1"/>
      <c r="D596" s="1"/>
      <c r="E596" s="1"/>
      <c r="F596" s="3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1"/>
      <c r="D597" s="1"/>
      <c r="E597" s="1"/>
      <c r="F597" s="3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1"/>
      <c r="D598" s="1"/>
      <c r="E598" s="1"/>
      <c r="F598" s="3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1"/>
      <c r="D599" s="1"/>
      <c r="E599" s="1"/>
      <c r="F599" s="3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1"/>
      <c r="D600" s="1"/>
      <c r="E600" s="1"/>
      <c r="F600" s="3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1"/>
      <c r="D601" s="1"/>
      <c r="E601" s="1"/>
      <c r="F601" s="3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1"/>
      <c r="D602" s="1"/>
      <c r="E602" s="1"/>
      <c r="F602" s="3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1"/>
      <c r="D603" s="1"/>
      <c r="E603" s="1"/>
      <c r="F603" s="3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1"/>
      <c r="D604" s="1"/>
      <c r="E604" s="1"/>
      <c r="F604" s="3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1"/>
      <c r="D605" s="1"/>
      <c r="E605" s="1"/>
      <c r="F605" s="3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1"/>
      <c r="D606" s="1"/>
      <c r="E606" s="1"/>
      <c r="F606" s="3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1"/>
      <c r="D607" s="1"/>
      <c r="E607" s="1"/>
      <c r="F607" s="3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1"/>
      <c r="D608" s="1"/>
      <c r="E608" s="1"/>
      <c r="F608" s="3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1"/>
      <c r="D609" s="1"/>
      <c r="E609" s="1"/>
      <c r="F609" s="3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1"/>
      <c r="D610" s="1"/>
      <c r="E610" s="1"/>
      <c r="F610" s="3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1"/>
      <c r="D611" s="1"/>
      <c r="E611" s="1"/>
      <c r="F611" s="3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1"/>
      <c r="D612" s="1"/>
      <c r="E612" s="1"/>
      <c r="F612" s="3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1"/>
      <c r="D613" s="1"/>
      <c r="E613" s="1"/>
      <c r="F613" s="3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1"/>
      <c r="D614" s="1"/>
      <c r="E614" s="1"/>
      <c r="F614" s="3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1"/>
      <c r="D615" s="1"/>
      <c r="E615" s="1"/>
      <c r="F615" s="3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1"/>
      <c r="D616" s="1"/>
      <c r="E616" s="1"/>
      <c r="F616" s="3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1"/>
      <c r="D617" s="1"/>
      <c r="E617" s="1"/>
      <c r="F617" s="3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1"/>
      <c r="D618" s="1"/>
      <c r="E618" s="1"/>
      <c r="F618" s="3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1"/>
      <c r="D619" s="1"/>
      <c r="E619" s="1"/>
      <c r="F619" s="3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1"/>
      <c r="D620" s="1"/>
      <c r="E620" s="1"/>
      <c r="F620" s="3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1"/>
      <c r="D621" s="1"/>
      <c r="E621" s="1"/>
      <c r="F621" s="3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1"/>
      <c r="D622" s="1"/>
      <c r="E622" s="1"/>
      <c r="F622" s="3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1"/>
      <c r="D623" s="1"/>
      <c r="E623" s="1"/>
      <c r="F623" s="3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1"/>
      <c r="D624" s="1"/>
      <c r="E624" s="1"/>
      <c r="F624" s="3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1"/>
      <c r="D625" s="1"/>
      <c r="E625" s="1"/>
      <c r="F625" s="3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1"/>
      <c r="D626" s="1"/>
      <c r="E626" s="1"/>
      <c r="F626" s="3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1"/>
      <c r="D627" s="1"/>
      <c r="E627" s="1"/>
      <c r="F627" s="3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1"/>
      <c r="D628" s="1"/>
      <c r="E628" s="1"/>
      <c r="F628" s="3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1"/>
      <c r="D629" s="1"/>
      <c r="E629" s="1"/>
      <c r="F629" s="3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1"/>
      <c r="D630" s="1"/>
      <c r="E630" s="1"/>
      <c r="F630" s="3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1"/>
      <c r="D631" s="1"/>
      <c r="E631" s="1"/>
      <c r="F631" s="3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1"/>
      <c r="D632" s="1"/>
      <c r="E632" s="1"/>
      <c r="F632" s="3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1"/>
      <c r="D633" s="1"/>
      <c r="E633" s="1"/>
      <c r="F633" s="3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1"/>
      <c r="D634" s="1"/>
      <c r="E634" s="1"/>
      <c r="F634" s="3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1"/>
      <c r="D635" s="1"/>
      <c r="E635" s="1"/>
      <c r="F635" s="3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1"/>
      <c r="D636" s="1"/>
      <c r="E636" s="1"/>
      <c r="F636" s="3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1"/>
      <c r="D637" s="1"/>
      <c r="E637" s="1"/>
      <c r="F637" s="3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1"/>
      <c r="D638" s="1"/>
      <c r="E638" s="1"/>
      <c r="F638" s="3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1"/>
      <c r="D639" s="1"/>
      <c r="E639" s="1"/>
      <c r="F639" s="3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1"/>
      <c r="D640" s="1"/>
      <c r="E640" s="1"/>
      <c r="F640" s="3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1"/>
      <c r="D641" s="1"/>
      <c r="E641" s="1"/>
      <c r="F641" s="3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1"/>
      <c r="D642" s="1"/>
      <c r="E642" s="1"/>
      <c r="F642" s="3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1"/>
      <c r="D643" s="1"/>
      <c r="E643" s="1"/>
      <c r="F643" s="3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1"/>
      <c r="D644" s="1"/>
      <c r="E644" s="1"/>
      <c r="F644" s="3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1"/>
      <c r="D645" s="1"/>
      <c r="E645" s="1"/>
      <c r="F645" s="3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1"/>
      <c r="D646" s="1"/>
      <c r="E646" s="1"/>
      <c r="F646" s="3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1"/>
      <c r="D647" s="1"/>
      <c r="E647" s="1"/>
      <c r="F647" s="3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1"/>
      <c r="D648" s="1"/>
      <c r="E648" s="1"/>
      <c r="F648" s="3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1"/>
      <c r="D649" s="1"/>
      <c r="E649" s="1"/>
      <c r="F649" s="3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1"/>
      <c r="D650" s="1"/>
      <c r="E650" s="1"/>
      <c r="F650" s="3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1"/>
      <c r="D651" s="1"/>
      <c r="E651" s="1"/>
      <c r="F651" s="3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1"/>
      <c r="D652" s="1"/>
      <c r="E652" s="1"/>
      <c r="F652" s="3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1"/>
      <c r="D653" s="1"/>
      <c r="E653" s="1"/>
      <c r="F653" s="3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1"/>
      <c r="D654" s="1"/>
      <c r="E654" s="1"/>
      <c r="F654" s="3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1"/>
      <c r="D655" s="1"/>
      <c r="E655" s="1"/>
      <c r="F655" s="3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1"/>
      <c r="D656" s="1"/>
      <c r="E656" s="1"/>
      <c r="F656" s="3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1"/>
      <c r="D657" s="1"/>
      <c r="E657" s="1"/>
      <c r="F657" s="3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1"/>
      <c r="D658" s="1"/>
      <c r="E658" s="1"/>
      <c r="F658" s="3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1"/>
      <c r="D659" s="1"/>
      <c r="E659" s="1"/>
      <c r="F659" s="3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1"/>
      <c r="D660" s="1"/>
      <c r="E660" s="1"/>
      <c r="F660" s="3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1"/>
      <c r="D661" s="1"/>
      <c r="E661" s="1"/>
      <c r="F661" s="3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1"/>
      <c r="D662" s="1"/>
      <c r="E662" s="1"/>
      <c r="F662" s="3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1"/>
      <c r="D663" s="1"/>
      <c r="E663" s="1"/>
      <c r="F663" s="3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1"/>
      <c r="D664" s="1"/>
      <c r="E664" s="1"/>
      <c r="F664" s="3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1"/>
      <c r="D665" s="1"/>
      <c r="E665" s="1"/>
      <c r="F665" s="3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1"/>
      <c r="D666" s="1"/>
      <c r="E666" s="1"/>
      <c r="F666" s="3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1"/>
      <c r="D667" s="1"/>
      <c r="E667" s="1"/>
      <c r="F667" s="3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1"/>
      <c r="D668" s="1"/>
      <c r="E668" s="1"/>
      <c r="F668" s="3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1"/>
      <c r="D669" s="1"/>
      <c r="E669" s="1"/>
      <c r="F669" s="3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1"/>
      <c r="D670" s="1"/>
      <c r="E670" s="1"/>
      <c r="F670" s="3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1"/>
      <c r="D671" s="1"/>
      <c r="E671" s="1"/>
      <c r="F671" s="3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1"/>
      <c r="D672" s="1"/>
      <c r="E672" s="1"/>
      <c r="F672" s="3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1"/>
      <c r="D673" s="1"/>
      <c r="E673" s="1"/>
      <c r="F673" s="3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1"/>
      <c r="D674" s="1"/>
      <c r="E674" s="1"/>
      <c r="F674" s="3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1"/>
      <c r="D675" s="1"/>
      <c r="E675" s="1"/>
      <c r="F675" s="3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1"/>
      <c r="D676" s="1"/>
      <c r="E676" s="1"/>
      <c r="F676" s="3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1"/>
      <c r="D677" s="1"/>
      <c r="E677" s="1"/>
      <c r="F677" s="3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1"/>
      <c r="D678" s="1"/>
      <c r="E678" s="1"/>
      <c r="F678" s="3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1"/>
      <c r="D679" s="1"/>
      <c r="E679" s="1"/>
      <c r="F679" s="3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1"/>
      <c r="D680" s="1"/>
      <c r="E680" s="1"/>
      <c r="F680" s="3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1"/>
      <c r="D681" s="1"/>
      <c r="E681" s="1"/>
      <c r="F681" s="3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1"/>
      <c r="D682" s="1"/>
      <c r="E682" s="1"/>
      <c r="F682" s="3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1"/>
      <c r="D683" s="1"/>
      <c r="E683" s="1"/>
      <c r="F683" s="3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1"/>
      <c r="D684" s="1"/>
      <c r="E684" s="1"/>
      <c r="F684" s="3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1"/>
      <c r="D685" s="1"/>
      <c r="E685" s="1"/>
      <c r="F685" s="3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1"/>
      <c r="D686" s="1"/>
      <c r="E686" s="1"/>
      <c r="F686" s="3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1"/>
      <c r="D687" s="1"/>
      <c r="E687" s="1"/>
      <c r="F687" s="3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1"/>
      <c r="D688" s="1"/>
      <c r="E688" s="1"/>
      <c r="F688" s="3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1"/>
      <c r="D689" s="1"/>
      <c r="E689" s="1"/>
      <c r="F689" s="3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1"/>
      <c r="D690" s="1"/>
      <c r="E690" s="1"/>
      <c r="F690" s="3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1"/>
      <c r="D691" s="1"/>
      <c r="E691" s="1"/>
      <c r="F691" s="3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1"/>
      <c r="D692" s="1"/>
      <c r="E692" s="1"/>
      <c r="F692" s="3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1"/>
      <c r="D693" s="1"/>
      <c r="E693" s="1"/>
      <c r="F693" s="3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1"/>
      <c r="D694" s="1"/>
      <c r="E694" s="1"/>
      <c r="F694" s="3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1"/>
      <c r="D695" s="1"/>
      <c r="E695" s="1"/>
      <c r="F695" s="3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1"/>
      <c r="D696" s="1"/>
      <c r="E696" s="1"/>
      <c r="F696" s="3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1"/>
      <c r="D697" s="1"/>
      <c r="E697" s="1"/>
      <c r="F697" s="3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1"/>
      <c r="D698" s="1"/>
      <c r="E698" s="1"/>
      <c r="F698" s="3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1"/>
      <c r="D699" s="1"/>
      <c r="E699" s="1"/>
      <c r="F699" s="3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1"/>
      <c r="D700" s="1"/>
      <c r="E700" s="1"/>
      <c r="F700" s="3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1"/>
      <c r="D701" s="1"/>
      <c r="E701" s="1"/>
      <c r="F701" s="3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1"/>
      <c r="D702" s="1"/>
      <c r="E702" s="1"/>
      <c r="F702" s="3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1"/>
      <c r="D703" s="1"/>
      <c r="E703" s="1"/>
      <c r="F703" s="3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1"/>
      <c r="D704" s="1"/>
      <c r="E704" s="1"/>
      <c r="F704" s="3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1"/>
      <c r="D705" s="1"/>
      <c r="E705" s="1"/>
      <c r="F705" s="3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1"/>
      <c r="D706" s="1"/>
      <c r="E706" s="1"/>
      <c r="F706" s="3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1"/>
      <c r="D707" s="1"/>
      <c r="E707" s="1"/>
      <c r="F707" s="3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1"/>
      <c r="D708" s="1"/>
      <c r="E708" s="1"/>
      <c r="F708" s="3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1"/>
      <c r="D709" s="1"/>
      <c r="E709" s="1"/>
      <c r="F709" s="3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1"/>
      <c r="D710" s="1"/>
      <c r="E710" s="1"/>
      <c r="F710" s="3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1"/>
      <c r="D711" s="1"/>
      <c r="E711" s="1"/>
      <c r="F711" s="3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1"/>
      <c r="D712" s="1"/>
      <c r="E712" s="1"/>
      <c r="F712" s="3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1"/>
      <c r="D713" s="1"/>
      <c r="E713" s="1"/>
      <c r="F713" s="3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1"/>
      <c r="D714" s="1"/>
      <c r="E714" s="1"/>
      <c r="F714" s="3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1"/>
      <c r="D715" s="1"/>
      <c r="E715" s="1"/>
      <c r="F715" s="3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1"/>
      <c r="D716" s="1"/>
      <c r="E716" s="1"/>
      <c r="F716" s="3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1"/>
      <c r="D717" s="1"/>
      <c r="E717" s="1"/>
      <c r="F717" s="3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1"/>
      <c r="D718" s="1"/>
      <c r="E718" s="1"/>
      <c r="F718" s="3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1"/>
      <c r="D719" s="1"/>
      <c r="E719" s="1"/>
      <c r="F719" s="3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1"/>
      <c r="D720" s="1"/>
      <c r="E720" s="1"/>
      <c r="F720" s="3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1"/>
      <c r="D721" s="1"/>
      <c r="E721" s="1"/>
      <c r="F721" s="3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1"/>
      <c r="D722" s="1"/>
      <c r="E722" s="1"/>
      <c r="F722" s="3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1"/>
      <c r="D723" s="1"/>
      <c r="E723" s="1"/>
      <c r="F723" s="3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1"/>
      <c r="D724" s="1"/>
      <c r="E724" s="1"/>
      <c r="F724" s="3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1"/>
      <c r="D725" s="1"/>
      <c r="E725" s="1"/>
      <c r="F725" s="3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1"/>
      <c r="D726" s="1"/>
      <c r="E726" s="1"/>
      <c r="F726" s="3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1"/>
      <c r="D727" s="1"/>
      <c r="E727" s="1"/>
      <c r="F727" s="3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1"/>
      <c r="D728" s="1"/>
      <c r="E728" s="1"/>
      <c r="F728" s="3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1"/>
      <c r="D729" s="1"/>
      <c r="E729" s="1"/>
      <c r="F729" s="3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1"/>
      <c r="D730" s="1"/>
      <c r="E730" s="1"/>
      <c r="F730" s="3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1"/>
      <c r="D731" s="1"/>
      <c r="E731" s="1"/>
      <c r="F731" s="3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1"/>
      <c r="D732" s="1"/>
      <c r="E732" s="1"/>
      <c r="F732" s="3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1"/>
      <c r="D733" s="1"/>
      <c r="E733" s="1"/>
      <c r="F733" s="3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1"/>
      <c r="D734" s="1"/>
      <c r="E734" s="1"/>
      <c r="F734" s="3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1"/>
      <c r="D735" s="1"/>
      <c r="E735" s="1"/>
      <c r="F735" s="3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1"/>
      <c r="D736" s="1"/>
      <c r="E736" s="1"/>
      <c r="F736" s="3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1"/>
      <c r="D737" s="1"/>
      <c r="E737" s="1"/>
      <c r="F737" s="3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1"/>
      <c r="D738" s="1"/>
      <c r="E738" s="1"/>
      <c r="F738" s="3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1"/>
      <c r="D739" s="1"/>
      <c r="E739" s="1"/>
      <c r="F739" s="3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1"/>
      <c r="D740" s="1"/>
      <c r="E740" s="1"/>
      <c r="F740" s="3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1"/>
      <c r="D741" s="1"/>
      <c r="E741" s="1"/>
      <c r="F741" s="3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1"/>
      <c r="D742" s="1"/>
      <c r="E742" s="1"/>
      <c r="F742" s="3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1"/>
      <c r="D743" s="1"/>
      <c r="E743" s="1"/>
      <c r="F743" s="3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1"/>
      <c r="D744" s="1"/>
      <c r="E744" s="1"/>
      <c r="F744" s="3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1"/>
      <c r="D745" s="1"/>
      <c r="E745" s="1"/>
      <c r="F745" s="3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1"/>
      <c r="D746" s="1"/>
      <c r="E746" s="1"/>
      <c r="F746" s="3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1"/>
      <c r="D747" s="1"/>
      <c r="E747" s="1"/>
      <c r="F747" s="3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1"/>
      <c r="D748" s="1"/>
      <c r="E748" s="1"/>
      <c r="F748" s="3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1"/>
      <c r="D749" s="1"/>
      <c r="E749" s="1"/>
      <c r="F749" s="3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1"/>
      <c r="D750" s="1"/>
      <c r="E750" s="1"/>
      <c r="F750" s="3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1"/>
      <c r="D751" s="1"/>
      <c r="E751" s="1"/>
      <c r="F751" s="3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1"/>
      <c r="D752" s="1"/>
      <c r="E752" s="1"/>
      <c r="F752" s="3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1"/>
      <c r="D753" s="1"/>
      <c r="E753" s="1"/>
      <c r="F753" s="3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1"/>
      <c r="D754" s="1"/>
      <c r="E754" s="1"/>
      <c r="F754" s="3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1"/>
      <c r="D755" s="1"/>
      <c r="E755" s="1"/>
      <c r="F755" s="3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1"/>
      <c r="D756" s="1"/>
      <c r="E756" s="1"/>
      <c r="F756" s="3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1"/>
      <c r="D757" s="1"/>
      <c r="E757" s="1"/>
      <c r="F757" s="3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1"/>
      <c r="D758" s="1"/>
      <c r="E758" s="1"/>
      <c r="F758" s="3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1"/>
      <c r="D759" s="1"/>
      <c r="E759" s="1"/>
      <c r="F759" s="3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1"/>
      <c r="D760" s="1"/>
      <c r="E760" s="1"/>
      <c r="F760" s="3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1"/>
      <c r="D761" s="1"/>
      <c r="E761" s="1"/>
      <c r="F761" s="3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1"/>
      <c r="D762" s="1"/>
      <c r="E762" s="1"/>
      <c r="F762" s="3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1"/>
      <c r="D763" s="1"/>
      <c r="E763" s="1"/>
      <c r="F763" s="3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1"/>
      <c r="D764" s="1"/>
      <c r="E764" s="1"/>
      <c r="F764" s="3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1"/>
      <c r="D765" s="1"/>
      <c r="E765" s="1"/>
      <c r="F765" s="3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1"/>
      <c r="D766" s="1"/>
      <c r="E766" s="1"/>
      <c r="F766" s="3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1"/>
      <c r="D767" s="1"/>
      <c r="E767" s="1"/>
      <c r="F767" s="3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1"/>
      <c r="D768" s="1"/>
      <c r="E768" s="1"/>
      <c r="F768" s="3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1"/>
      <c r="D769" s="1"/>
      <c r="E769" s="1"/>
      <c r="F769" s="3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1"/>
      <c r="D770" s="1"/>
      <c r="E770" s="1"/>
      <c r="F770" s="3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1"/>
      <c r="D771" s="1"/>
      <c r="E771" s="1"/>
      <c r="F771" s="3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1"/>
      <c r="D772" s="1"/>
      <c r="E772" s="1"/>
      <c r="F772" s="3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1"/>
      <c r="D773" s="1"/>
      <c r="E773" s="1"/>
      <c r="F773" s="3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1"/>
      <c r="D774" s="1"/>
      <c r="E774" s="1"/>
      <c r="F774" s="3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1"/>
      <c r="D775" s="1"/>
      <c r="E775" s="1"/>
      <c r="F775" s="3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1"/>
      <c r="D776" s="1"/>
      <c r="E776" s="1"/>
      <c r="F776" s="3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1"/>
      <c r="D777" s="1"/>
      <c r="E777" s="1"/>
      <c r="F777" s="3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1"/>
      <c r="D778" s="1"/>
      <c r="E778" s="1"/>
      <c r="F778" s="3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1"/>
      <c r="D779" s="1"/>
      <c r="E779" s="1"/>
      <c r="F779" s="3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1"/>
      <c r="D780" s="1"/>
      <c r="E780" s="1"/>
      <c r="F780" s="3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1"/>
      <c r="D781" s="1"/>
      <c r="E781" s="1"/>
      <c r="F781" s="3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1"/>
      <c r="D782" s="1"/>
      <c r="E782" s="1"/>
      <c r="F782" s="3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1"/>
      <c r="D783" s="1"/>
      <c r="E783" s="1"/>
      <c r="F783" s="3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1"/>
      <c r="D784" s="1"/>
      <c r="E784" s="1"/>
      <c r="F784" s="3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1"/>
      <c r="D785" s="1"/>
      <c r="E785" s="1"/>
      <c r="F785" s="3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1"/>
      <c r="D786" s="1"/>
      <c r="E786" s="1"/>
      <c r="F786" s="3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1"/>
      <c r="D787" s="1"/>
      <c r="E787" s="1"/>
      <c r="F787" s="3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1"/>
      <c r="D788" s="1"/>
      <c r="E788" s="1"/>
      <c r="F788" s="3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1"/>
      <c r="D789" s="1"/>
      <c r="E789" s="1"/>
      <c r="F789" s="3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1"/>
      <c r="D790" s="1"/>
      <c r="E790" s="1"/>
      <c r="F790" s="3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1"/>
      <c r="D791" s="1"/>
      <c r="E791" s="1"/>
      <c r="F791" s="3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1"/>
      <c r="D792" s="1"/>
      <c r="E792" s="1"/>
      <c r="F792" s="3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1"/>
      <c r="D793" s="1"/>
      <c r="E793" s="1"/>
      <c r="F793" s="3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1"/>
      <c r="D794" s="1"/>
      <c r="E794" s="1"/>
      <c r="F794" s="3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1"/>
      <c r="D795" s="1"/>
      <c r="E795" s="1"/>
      <c r="F795" s="3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1"/>
      <c r="D796" s="1"/>
      <c r="E796" s="1"/>
      <c r="F796" s="3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1"/>
      <c r="D797" s="1"/>
      <c r="E797" s="1"/>
      <c r="F797" s="3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1"/>
      <c r="D798" s="1"/>
      <c r="E798" s="1"/>
      <c r="F798" s="3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1"/>
      <c r="D799" s="1"/>
      <c r="E799" s="1"/>
      <c r="F799" s="3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1"/>
      <c r="D800" s="1"/>
      <c r="E800" s="1"/>
      <c r="F800" s="3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1"/>
      <c r="D801" s="1"/>
      <c r="E801" s="1"/>
      <c r="F801" s="3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1"/>
      <c r="D802" s="1"/>
      <c r="E802" s="1"/>
      <c r="F802" s="3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1"/>
      <c r="D803" s="1"/>
      <c r="E803" s="1"/>
      <c r="F803" s="3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1"/>
      <c r="D804" s="1"/>
      <c r="E804" s="1"/>
      <c r="F804" s="3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1"/>
      <c r="D805" s="1"/>
      <c r="E805" s="1"/>
      <c r="F805" s="3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1"/>
      <c r="D806" s="1"/>
      <c r="E806" s="1"/>
      <c r="F806" s="3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1"/>
      <c r="D807" s="1"/>
      <c r="E807" s="1"/>
      <c r="F807" s="3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1"/>
      <c r="D808" s="1"/>
      <c r="E808" s="1"/>
      <c r="F808" s="3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1"/>
      <c r="D809" s="1"/>
      <c r="E809" s="1"/>
      <c r="F809" s="3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1"/>
      <c r="D810" s="1"/>
      <c r="E810" s="1"/>
      <c r="F810" s="3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1"/>
      <c r="D811" s="1"/>
      <c r="E811" s="1"/>
      <c r="F811" s="3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1"/>
      <c r="D812" s="1"/>
      <c r="E812" s="1"/>
      <c r="F812" s="3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1"/>
      <c r="D813" s="1"/>
      <c r="E813" s="1"/>
      <c r="F813" s="3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1"/>
      <c r="D814" s="1"/>
      <c r="E814" s="1"/>
      <c r="F814" s="3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1"/>
      <c r="D815" s="1"/>
      <c r="E815" s="1"/>
      <c r="F815" s="3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1"/>
      <c r="D816" s="1"/>
      <c r="E816" s="1"/>
      <c r="F816" s="3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1"/>
      <c r="D817" s="1"/>
      <c r="E817" s="1"/>
      <c r="F817" s="3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1"/>
      <c r="D818" s="1"/>
      <c r="E818" s="1"/>
      <c r="F818" s="3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1"/>
      <c r="D819" s="1"/>
      <c r="E819" s="1"/>
      <c r="F819" s="3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1"/>
      <c r="D820" s="1"/>
      <c r="E820" s="1"/>
      <c r="F820" s="3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1"/>
      <c r="D821" s="1"/>
      <c r="E821" s="1"/>
      <c r="F821" s="3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1"/>
      <c r="D822" s="1"/>
      <c r="E822" s="1"/>
      <c r="F822" s="3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1"/>
      <c r="D823" s="1"/>
      <c r="E823" s="1"/>
      <c r="F823" s="3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1"/>
      <c r="D824" s="1"/>
      <c r="E824" s="1"/>
      <c r="F824" s="3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1"/>
      <c r="D825" s="1"/>
      <c r="E825" s="1"/>
      <c r="F825" s="3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1"/>
      <c r="D826" s="1"/>
      <c r="E826" s="1"/>
      <c r="F826" s="3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1"/>
      <c r="D827" s="1"/>
      <c r="E827" s="1"/>
      <c r="F827" s="3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1"/>
      <c r="D828" s="1"/>
      <c r="E828" s="1"/>
      <c r="F828" s="3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1"/>
      <c r="D829" s="1"/>
      <c r="E829" s="1"/>
      <c r="F829" s="3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1"/>
      <c r="D830" s="1"/>
      <c r="E830" s="1"/>
      <c r="F830" s="3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1"/>
      <c r="D831" s="1"/>
      <c r="E831" s="1"/>
      <c r="F831" s="3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1"/>
      <c r="D832" s="1"/>
      <c r="E832" s="1"/>
      <c r="F832" s="3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1"/>
      <c r="D833" s="1"/>
      <c r="E833" s="1"/>
      <c r="F833" s="3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1"/>
      <c r="D834" s="1"/>
      <c r="E834" s="1"/>
      <c r="F834" s="3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1"/>
      <c r="D835" s="1"/>
      <c r="E835" s="1"/>
      <c r="F835" s="3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1"/>
      <c r="D836" s="1"/>
      <c r="E836" s="1"/>
      <c r="F836" s="3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1"/>
      <c r="D837" s="1"/>
      <c r="E837" s="1"/>
      <c r="F837" s="3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1"/>
      <c r="D838" s="1"/>
      <c r="E838" s="1"/>
      <c r="F838" s="3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1"/>
      <c r="D839" s="1"/>
      <c r="E839" s="1"/>
      <c r="F839" s="3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1"/>
      <c r="D840" s="1"/>
      <c r="E840" s="1"/>
      <c r="F840" s="3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1"/>
      <c r="D841" s="1"/>
      <c r="E841" s="1"/>
      <c r="F841" s="3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1"/>
      <c r="D842" s="1"/>
      <c r="E842" s="1"/>
      <c r="F842" s="3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1"/>
      <c r="D843" s="1"/>
      <c r="E843" s="1"/>
      <c r="F843" s="3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1"/>
      <c r="D844" s="1"/>
      <c r="E844" s="1"/>
      <c r="F844" s="3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1"/>
      <c r="D845" s="1"/>
      <c r="E845" s="1"/>
      <c r="F845" s="3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1"/>
      <c r="D846" s="1"/>
      <c r="E846" s="1"/>
      <c r="F846" s="3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1"/>
      <c r="D847" s="1"/>
      <c r="E847" s="1"/>
      <c r="F847" s="3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1"/>
      <c r="D848" s="1"/>
      <c r="E848" s="1"/>
      <c r="F848" s="3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1"/>
      <c r="D849" s="1"/>
      <c r="E849" s="1"/>
      <c r="F849" s="3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1"/>
      <c r="D850" s="1"/>
      <c r="E850" s="1"/>
      <c r="F850" s="3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1"/>
      <c r="D851" s="1"/>
      <c r="E851" s="1"/>
      <c r="F851" s="3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1"/>
      <c r="D852" s="1"/>
      <c r="E852" s="1"/>
      <c r="F852" s="3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1"/>
      <c r="D853" s="1"/>
      <c r="E853" s="1"/>
      <c r="F853" s="3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1"/>
      <c r="D854" s="1"/>
      <c r="E854" s="1"/>
      <c r="F854" s="3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1"/>
      <c r="D855" s="1"/>
      <c r="E855" s="1"/>
      <c r="F855" s="3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1"/>
      <c r="D856" s="1"/>
      <c r="E856" s="1"/>
      <c r="F856" s="3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1"/>
      <c r="D857" s="1"/>
      <c r="E857" s="1"/>
      <c r="F857" s="3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1"/>
      <c r="D858" s="1"/>
      <c r="E858" s="1"/>
      <c r="F858" s="3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1"/>
      <c r="D859" s="1"/>
      <c r="E859" s="1"/>
      <c r="F859" s="3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1"/>
      <c r="D860" s="1"/>
      <c r="E860" s="1"/>
      <c r="F860" s="3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1"/>
      <c r="D861" s="1"/>
      <c r="E861" s="1"/>
      <c r="F861" s="3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1"/>
      <c r="D862" s="1"/>
      <c r="E862" s="1"/>
      <c r="F862" s="3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1"/>
      <c r="D863" s="1"/>
      <c r="E863" s="1"/>
      <c r="F863" s="3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1"/>
      <c r="D864" s="1"/>
      <c r="E864" s="1"/>
      <c r="F864" s="3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1"/>
      <c r="D865" s="1"/>
      <c r="E865" s="1"/>
      <c r="F865" s="3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1"/>
      <c r="D866" s="1"/>
      <c r="E866" s="1"/>
      <c r="F866" s="3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1"/>
      <c r="D867" s="1"/>
      <c r="E867" s="1"/>
      <c r="F867" s="3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1"/>
      <c r="D868" s="1"/>
      <c r="E868" s="1"/>
      <c r="F868" s="3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1"/>
      <c r="D869" s="1"/>
      <c r="E869" s="1"/>
      <c r="F869" s="3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1"/>
      <c r="D870" s="1"/>
      <c r="E870" s="1"/>
      <c r="F870" s="3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1"/>
      <c r="D871" s="1"/>
      <c r="E871" s="1"/>
      <c r="F871" s="3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1"/>
      <c r="D872" s="1"/>
      <c r="E872" s="1"/>
      <c r="F872" s="3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1"/>
      <c r="D873" s="1"/>
      <c r="E873" s="1"/>
      <c r="F873" s="3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1"/>
      <c r="D874" s="1"/>
      <c r="E874" s="1"/>
      <c r="F874" s="3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1"/>
      <c r="D875" s="1"/>
      <c r="E875" s="1"/>
      <c r="F875" s="3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1"/>
      <c r="D876" s="1"/>
      <c r="E876" s="1"/>
      <c r="F876" s="3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1"/>
      <c r="D877" s="1"/>
      <c r="E877" s="1"/>
      <c r="F877" s="3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1"/>
      <c r="D878" s="1"/>
      <c r="E878" s="1"/>
      <c r="F878" s="3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1"/>
      <c r="D879" s="1"/>
      <c r="E879" s="1"/>
      <c r="F879" s="3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1"/>
      <c r="D880" s="1"/>
      <c r="E880" s="1"/>
      <c r="F880" s="3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1"/>
      <c r="D881" s="1"/>
      <c r="E881" s="1"/>
      <c r="F881" s="3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1"/>
      <c r="D882" s="1"/>
      <c r="E882" s="1"/>
      <c r="F882" s="3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1"/>
      <c r="D883" s="1"/>
      <c r="E883" s="1"/>
      <c r="F883" s="3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1"/>
      <c r="D884" s="1"/>
      <c r="E884" s="1"/>
      <c r="F884" s="3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1"/>
      <c r="D885" s="1"/>
      <c r="E885" s="1"/>
      <c r="F885" s="3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1"/>
      <c r="D886" s="1"/>
      <c r="E886" s="1"/>
      <c r="F886" s="3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1"/>
      <c r="D887" s="1"/>
      <c r="E887" s="1"/>
      <c r="F887" s="3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1"/>
      <c r="D888" s="1"/>
      <c r="E888" s="1"/>
      <c r="F888" s="3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1"/>
      <c r="D889" s="1"/>
      <c r="E889" s="1"/>
      <c r="F889" s="3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1"/>
      <c r="D890" s="1"/>
      <c r="E890" s="1"/>
      <c r="F890" s="3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1"/>
      <c r="D891" s="1"/>
      <c r="E891" s="1"/>
      <c r="F891" s="3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1"/>
      <c r="D892" s="1"/>
      <c r="E892" s="1"/>
      <c r="F892" s="3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1"/>
      <c r="D893" s="1"/>
      <c r="E893" s="1"/>
      <c r="F893" s="3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1"/>
      <c r="D894" s="1"/>
      <c r="E894" s="1"/>
      <c r="F894" s="3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1"/>
      <c r="D895" s="1"/>
      <c r="E895" s="1"/>
      <c r="F895" s="3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1"/>
      <c r="D896" s="1"/>
      <c r="E896" s="1"/>
      <c r="F896" s="3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1"/>
      <c r="D897" s="1"/>
      <c r="E897" s="1"/>
      <c r="F897" s="3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1"/>
      <c r="D898" s="1"/>
      <c r="E898" s="1"/>
      <c r="F898" s="3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1"/>
      <c r="D899" s="1"/>
      <c r="E899" s="1"/>
      <c r="F899" s="3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1"/>
      <c r="D900" s="1"/>
      <c r="E900" s="1"/>
      <c r="F900" s="3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1"/>
      <c r="D901" s="1"/>
      <c r="E901" s="1"/>
      <c r="F901" s="3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1"/>
      <c r="D902" s="1"/>
      <c r="E902" s="1"/>
      <c r="F902" s="3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1"/>
      <c r="D903" s="1"/>
      <c r="E903" s="1"/>
      <c r="F903" s="3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1"/>
      <c r="D904" s="1"/>
      <c r="E904" s="1"/>
      <c r="F904" s="3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1"/>
      <c r="D905" s="1"/>
      <c r="E905" s="1"/>
      <c r="F905" s="3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1"/>
      <c r="D906" s="1"/>
      <c r="E906" s="1"/>
      <c r="F906" s="3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1"/>
      <c r="D907" s="1"/>
      <c r="E907" s="1"/>
      <c r="F907" s="3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1"/>
      <c r="D908" s="1"/>
      <c r="E908" s="1"/>
      <c r="F908" s="3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1"/>
      <c r="D909" s="1"/>
      <c r="E909" s="1"/>
      <c r="F909" s="3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1"/>
      <c r="D910" s="1"/>
      <c r="E910" s="1"/>
      <c r="F910" s="3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1"/>
      <c r="D911" s="1"/>
      <c r="E911" s="1"/>
      <c r="F911" s="3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1"/>
      <c r="D912" s="1"/>
      <c r="E912" s="1"/>
      <c r="F912" s="3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1"/>
      <c r="D913" s="1"/>
      <c r="E913" s="1"/>
      <c r="F913" s="3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1"/>
      <c r="D914" s="1"/>
      <c r="E914" s="1"/>
      <c r="F914" s="3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1"/>
      <c r="D915" s="1"/>
      <c r="E915" s="1"/>
      <c r="F915" s="3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1"/>
      <c r="D916" s="1"/>
      <c r="E916" s="1"/>
      <c r="F916" s="3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1"/>
      <c r="D917" s="1"/>
      <c r="E917" s="1"/>
      <c r="F917" s="3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1"/>
      <c r="D918" s="1"/>
      <c r="E918" s="1"/>
      <c r="F918" s="3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1"/>
      <c r="D919" s="1"/>
      <c r="E919" s="1"/>
      <c r="F919" s="3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1"/>
      <c r="D920" s="1"/>
      <c r="E920" s="1"/>
      <c r="F920" s="3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1"/>
      <c r="D921" s="1"/>
      <c r="E921" s="1"/>
      <c r="F921" s="3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1"/>
      <c r="D922" s="1"/>
      <c r="E922" s="1"/>
      <c r="F922" s="3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1"/>
      <c r="D923" s="1"/>
      <c r="E923" s="1"/>
      <c r="F923" s="3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1"/>
      <c r="D924" s="1"/>
      <c r="E924" s="1"/>
      <c r="F924" s="3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1"/>
      <c r="D925" s="1"/>
      <c r="E925" s="1"/>
      <c r="F925" s="3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1"/>
      <c r="D926" s="1"/>
      <c r="E926" s="1"/>
      <c r="F926" s="3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1"/>
      <c r="D927" s="1"/>
      <c r="E927" s="1"/>
      <c r="F927" s="3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1"/>
      <c r="D928" s="1"/>
      <c r="E928" s="1"/>
      <c r="F928" s="3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1"/>
      <c r="D929" s="1"/>
      <c r="E929" s="1"/>
      <c r="F929" s="3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1"/>
      <c r="D930" s="1"/>
      <c r="E930" s="1"/>
      <c r="F930" s="3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1"/>
      <c r="D931" s="1"/>
      <c r="E931" s="1"/>
      <c r="F931" s="3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1"/>
      <c r="D932" s="1"/>
      <c r="E932" s="1"/>
      <c r="F932" s="3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1"/>
      <c r="D933" s="1"/>
      <c r="E933" s="1"/>
      <c r="F933" s="3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1"/>
      <c r="D934" s="1"/>
      <c r="E934" s="1"/>
      <c r="F934" s="3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1"/>
      <c r="D935" s="1"/>
      <c r="E935" s="1"/>
      <c r="F935" s="3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1"/>
      <c r="D936" s="1"/>
      <c r="E936" s="1"/>
      <c r="F936" s="3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1"/>
      <c r="D937" s="1"/>
      <c r="E937" s="1"/>
      <c r="F937" s="3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1"/>
      <c r="D938" s="1"/>
      <c r="E938" s="1"/>
      <c r="F938" s="3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1"/>
      <c r="D939" s="1"/>
      <c r="E939" s="1"/>
      <c r="F939" s="3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1"/>
      <c r="D940" s="1"/>
      <c r="E940" s="1"/>
      <c r="F940" s="3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1"/>
      <c r="D941" s="1"/>
      <c r="E941" s="1"/>
      <c r="F941" s="3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1"/>
      <c r="D942" s="1"/>
      <c r="E942" s="1"/>
      <c r="F942" s="3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1"/>
      <c r="D943" s="1"/>
      <c r="E943" s="1"/>
      <c r="F943" s="3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1"/>
      <c r="D944" s="1"/>
      <c r="E944" s="1"/>
      <c r="F944" s="3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1"/>
      <c r="D945" s="1"/>
      <c r="E945" s="1"/>
      <c r="F945" s="3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1"/>
      <c r="D946" s="1"/>
      <c r="E946" s="1"/>
      <c r="F946" s="3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1"/>
      <c r="D947" s="1"/>
      <c r="E947" s="1"/>
      <c r="F947" s="3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1"/>
      <c r="D948" s="1"/>
      <c r="E948" s="1"/>
      <c r="F948" s="3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1"/>
      <c r="D949" s="1"/>
      <c r="E949" s="1"/>
      <c r="F949" s="3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1"/>
      <c r="D950" s="1"/>
      <c r="E950" s="1"/>
      <c r="F950" s="3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1"/>
      <c r="D951" s="1"/>
      <c r="E951" s="1"/>
      <c r="F951" s="3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1"/>
      <c r="D952" s="1"/>
      <c r="E952" s="1"/>
      <c r="F952" s="3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1"/>
      <c r="D953" s="1"/>
      <c r="E953" s="1"/>
      <c r="F953" s="3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F954" s="134"/>
    </row>
    <row r="955">
      <c r="F955" s="134"/>
    </row>
    <row r="956">
      <c r="F956" s="134"/>
    </row>
    <row r="957">
      <c r="F957" s="134"/>
    </row>
    <row r="958">
      <c r="F958" s="134"/>
    </row>
    <row r="959">
      <c r="F959" s="134"/>
    </row>
    <row r="960">
      <c r="F960" s="134"/>
    </row>
    <row r="961">
      <c r="F961" s="134"/>
    </row>
    <row r="962">
      <c r="F962" s="134"/>
    </row>
    <row r="963">
      <c r="F963" s="134"/>
    </row>
    <row r="964">
      <c r="F964" s="134"/>
    </row>
    <row r="965">
      <c r="F965" s="134"/>
    </row>
    <row r="966">
      <c r="F966" s="134"/>
    </row>
    <row r="967">
      <c r="F967" s="134"/>
    </row>
    <row r="968">
      <c r="F968" s="134"/>
    </row>
    <row r="969">
      <c r="F969" s="134"/>
    </row>
    <row r="970">
      <c r="F970" s="134"/>
    </row>
    <row r="971">
      <c r="F971" s="134"/>
    </row>
    <row r="972">
      <c r="F972" s="134"/>
    </row>
    <row r="973">
      <c r="F973" s="134"/>
    </row>
    <row r="974">
      <c r="F974" s="134"/>
    </row>
    <row r="975">
      <c r="F975" s="134"/>
    </row>
    <row r="976">
      <c r="F976" s="134"/>
    </row>
    <row r="977">
      <c r="F977" s="134"/>
    </row>
    <row r="978">
      <c r="F978" s="134"/>
    </row>
    <row r="979">
      <c r="F979" s="134"/>
    </row>
    <row r="980">
      <c r="F980" s="134"/>
    </row>
    <row r="981">
      <c r="F981" s="134"/>
    </row>
    <row r="982">
      <c r="F982" s="134"/>
    </row>
    <row r="983">
      <c r="F983" s="134"/>
    </row>
    <row r="984">
      <c r="F984" s="134"/>
    </row>
    <row r="985">
      <c r="F985" s="134"/>
    </row>
    <row r="986">
      <c r="F986" s="134"/>
    </row>
    <row r="987">
      <c r="F987" s="134"/>
    </row>
    <row r="988">
      <c r="F988" s="134"/>
    </row>
    <row r="989">
      <c r="F989" s="134"/>
    </row>
    <row r="990">
      <c r="F990" s="134"/>
    </row>
    <row r="991">
      <c r="F991" s="134"/>
    </row>
    <row r="992">
      <c r="F992" s="134"/>
    </row>
    <row r="993">
      <c r="F993" s="134"/>
    </row>
    <row r="994">
      <c r="F994" s="134"/>
    </row>
    <row r="995">
      <c r="F995" s="134"/>
    </row>
    <row r="996">
      <c r="F996" s="134"/>
    </row>
    <row r="997">
      <c r="F997" s="134"/>
    </row>
    <row r="998">
      <c r="F998" s="134"/>
    </row>
    <row r="999">
      <c r="F999" s="134"/>
    </row>
    <row r="1000">
      <c r="F1000" s="134"/>
    </row>
    <row r="1001">
      <c r="F1001" s="134"/>
    </row>
    <row r="1002">
      <c r="F1002" s="134"/>
    </row>
    <row r="1003">
      <c r="F1003" s="134"/>
    </row>
    <row r="1004">
      <c r="F1004" s="134"/>
    </row>
  </sheetData>
  <mergeCells count="14">
    <mergeCell ref="D7:D8"/>
    <mergeCell ref="E7:E8"/>
    <mergeCell ref="F7:J7"/>
    <mergeCell ref="A29:C29"/>
    <mergeCell ref="F29:H29"/>
    <mergeCell ref="A30:C30"/>
    <mergeCell ref="F30:H30"/>
    <mergeCell ref="B1:H1"/>
    <mergeCell ref="B2:H2"/>
    <mergeCell ref="A4:H4"/>
    <mergeCell ref="A5:H5"/>
    <mergeCell ref="A7:A8"/>
    <mergeCell ref="B7:B8"/>
    <mergeCell ref="C7:C8"/>
  </mergeCells>
  <hyperlinks>
    <hyperlink r:id="rId1" ref="I5"/>
    <hyperlink r:id="rId2" ref="F9"/>
    <hyperlink r:id="rId3" ref="F10"/>
    <hyperlink r:id="rId4" ref="F11"/>
    <hyperlink r:id="rId5" ref="F12"/>
    <hyperlink r:id="rId6" ref="F13"/>
    <hyperlink r:id="rId7" ref="F14"/>
    <hyperlink r:id="rId8" ref="F15"/>
    <hyperlink r:id="rId9" ref="F16"/>
  </hyperlinks>
  <printOptions horizontalCentered="1"/>
  <pageMargins bottom="0.75" footer="0.0" header="0.0" left="0.7" right="0.7" top="0.75"/>
  <pageSetup paperSize="9" scale="90" cellComments="atEnd" orientation="landscape" pageOrder="overThenDown"/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32.0"/>
    <col customWidth="1" min="3" max="3" width="15.63"/>
    <col customWidth="1" min="4" max="4" width="8.13"/>
    <col customWidth="1" min="5" max="5" width="10.5"/>
    <col customWidth="1" min="12" max="12" width="37.5"/>
    <col customWidth="1" min="15" max="15" width="30.75"/>
    <col customWidth="1" min="16" max="16" width="13.0"/>
  </cols>
  <sheetData>
    <row r="1">
      <c r="A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2" t="s">
        <v>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1"/>
      <c r="C3" s="1"/>
      <c r="D3" s="1"/>
      <c r="E3" s="1"/>
      <c r="F3" s="1"/>
      <c r="G3" s="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5" t="s">
        <v>2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5" t="s">
        <v>3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6"/>
      <c r="B6" s="6"/>
      <c r="C6" s="6"/>
      <c r="D6" s="6"/>
      <c r="E6" s="6"/>
      <c r="F6" s="6"/>
      <c r="G6" s="8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9" t="s">
        <v>6</v>
      </c>
      <c r="B7" s="10" t="s">
        <v>7</v>
      </c>
      <c r="C7" s="11" t="s">
        <v>8</v>
      </c>
      <c r="D7" s="10" t="s">
        <v>9</v>
      </c>
      <c r="E7" s="13" t="s">
        <v>10</v>
      </c>
      <c r="F7" s="14"/>
      <c r="G7" s="15"/>
      <c r="H7" s="1"/>
      <c r="I7" s="1"/>
      <c r="J7" s="1"/>
      <c r="K7" s="1"/>
      <c r="L7" s="20"/>
      <c r="M7" s="20"/>
      <c r="N7" s="21"/>
      <c r="O7" s="21"/>
      <c r="P7" s="21"/>
      <c r="Q7" s="21" t="s">
        <v>11</v>
      </c>
      <c r="R7" s="2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22"/>
      <c r="B8" s="15"/>
      <c r="C8" s="15"/>
      <c r="D8" s="15"/>
      <c r="E8" s="25"/>
      <c r="F8" s="14"/>
      <c r="G8" s="15"/>
      <c r="H8" s="1"/>
      <c r="I8" s="1"/>
      <c r="J8" s="1"/>
      <c r="K8" s="1"/>
      <c r="L8" s="28"/>
      <c r="M8" s="31"/>
      <c r="N8" s="35"/>
      <c r="O8" s="37"/>
      <c r="P8" s="31"/>
      <c r="Q8" s="31" t="s">
        <v>11</v>
      </c>
      <c r="R8" s="31" t="s">
        <v>11</v>
      </c>
      <c r="S8" s="31" t="s">
        <v>11</v>
      </c>
      <c r="T8" s="31"/>
      <c r="U8" s="1"/>
      <c r="V8" s="1"/>
      <c r="W8" s="1"/>
      <c r="X8" s="1"/>
      <c r="Y8" s="1"/>
      <c r="Z8" s="1"/>
      <c r="AA8" s="1"/>
      <c r="AB8" s="1"/>
    </row>
    <row r="9">
      <c r="A9" s="39">
        <v>1.0</v>
      </c>
      <c r="B9" s="40" t="s">
        <v>20</v>
      </c>
      <c r="C9" s="40">
        <v>1.60428050504E11</v>
      </c>
      <c r="D9" s="43" t="s">
        <v>21</v>
      </c>
      <c r="E9" s="46" t="b">
        <v>1</v>
      </c>
      <c r="F9" s="47"/>
      <c r="G9" s="48">
        <v>11.0</v>
      </c>
      <c r="H9" s="1"/>
      <c r="I9" s="21"/>
      <c r="J9" s="21"/>
      <c r="K9" s="49"/>
      <c r="L9" s="21"/>
      <c r="M9" s="21"/>
      <c r="N9" s="21"/>
      <c r="O9" s="21"/>
      <c r="P9" s="21"/>
      <c r="Q9" s="50"/>
      <c r="R9" s="31"/>
      <c r="S9" s="31"/>
      <c r="T9" s="31"/>
      <c r="U9" s="1"/>
      <c r="V9" s="1"/>
      <c r="W9" s="1"/>
      <c r="X9" s="1"/>
      <c r="Y9" s="1"/>
      <c r="Z9" s="1"/>
      <c r="AA9" s="1"/>
      <c r="AB9" s="1"/>
    </row>
    <row r="10">
      <c r="A10" s="52">
        <v>2.0</v>
      </c>
      <c r="B10" s="40" t="s">
        <v>26</v>
      </c>
      <c r="C10" s="40">
        <v>1.61212050251E11</v>
      </c>
      <c r="D10" s="43" t="s">
        <v>21</v>
      </c>
      <c r="E10" s="46" t="b">
        <v>1</v>
      </c>
      <c r="F10" s="55"/>
      <c r="G10" s="57">
        <v>11.0</v>
      </c>
      <c r="H10" s="1"/>
      <c r="I10" s="31"/>
      <c r="J10" s="31"/>
      <c r="K10" s="31"/>
      <c r="L10" s="58"/>
      <c r="M10" s="31"/>
      <c r="N10" s="31"/>
      <c r="O10" s="31"/>
      <c r="P10" s="31"/>
      <c r="Q10" s="31"/>
      <c r="R10" s="59"/>
      <c r="S10" s="31"/>
      <c r="T10" s="31"/>
      <c r="U10" s="1"/>
      <c r="V10" s="1"/>
      <c r="W10" s="1"/>
      <c r="X10" s="1"/>
      <c r="Y10" s="1"/>
      <c r="Z10" s="1"/>
      <c r="AA10" s="1"/>
      <c r="AB10" s="1"/>
    </row>
    <row r="11">
      <c r="A11" s="39">
        <v>3.0</v>
      </c>
      <c r="B11" s="40" t="s">
        <v>28</v>
      </c>
      <c r="C11" s="40">
        <v>1.61229140851E11</v>
      </c>
      <c r="D11" s="43" t="s">
        <v>29</v>
      </c>
      <c r="E11" s="46" t="b">
        <v>1</v>
      </c>
      <c r="F11" s="47"/>
      <c r="G11" s="48">
        <v>11.0</v>
      </c>
      <c r="H11" s="1"/>
      <c r="I11" s="31"/>
      <c r="J11" s="31"/>
      <c r="K11" s="31"/>
      <c r="L11" s="58"/>
      <c r="M11" s="31"/>
      <c r="N11" s="31"/>
      <c r="O11" s="31"/>
      <c r="P11" s="31"/>
      <c r="Q11" s="31"/>
      <c r="R11" s="59"/>
      <c r="S11" s="31"/>
      <c r="T11" s="31"/>
      <c r="U11" s="1"/>
      <c r="V11" s="1"/>
      <c r="W11" s="1"/>
      <c r="X11" s="1"/>
      <c r="Y11" s="1"/>
      <c r="Z11" s="1"/>
      <c r="AA11" s="1"/>
      <c r="AB11" s="1"/>
    </row>
    <row r="12">
      <c r="A12" s="39">
        <v>4.0</v>
      </c>
      <c r="B12" s="40" t="s">
        <v>30</v>
      </c>
      <c r="C12" s="40">
        <v>1.612291408E11</v>
      </c>
      <c r="D12" s="63" t="s">
        <v>29</v>
      </c>
      <c r="E12" s="46" t="b">
        <v>1</v>
      </c>
      <c r="F12" s="55"/>
      <c r="G12" s="57">
        <v>10.0</v>
      </c>
      <c r="H12" s="1"/>
      <c r="I12" s="31"/>
      <c r="J12" s="31"/>
      <c r="K12" s="31"/>
      <c r="L12" s="58"/>
      <c r="M12" s="31"/>
      <c r="N12" s="31"/>
      <c r="O12" s="31"/>
      <c r="P12" s="31"/>
      <c r="Q12" s="31"/>
      <c r="R12" s="59"/>
      <c r="S12" s="31"/>
      <c r="T12" s="31"/>
      <c r="U12" s="1"/>
      <c r="V12" s="1"/>
      <c r="W12" s="1"/>
      <c r="X12" s="1"/>
      <c r="Y12" s="1"/>
      <c r="Z12" s="1"/>
      <c r="AA12" s="1"/>
      <c r="AB12" s="1"/>
    </row>
    <row r="13">
      <c r="A13" s="52">
        <v>5.0</v>
      </c>
      <c r="B13" s="40" t="s">
        <v>31</v>
      </c>
      <c r="C13" s="40">
        <v>1.60925040198E11</v>
      </c>
      <c r="D13" s="43" t="s">
        <v>21</v>
      </c>
      <c r="E13" s="46" t="b">
        <v>1</v>
      </c>
      <c r="F13" s="47"/>
      <c r="G13" s="48">
        <v>11.0</v>
      </c>
      <c r="H13" s="1"/>
      <c r="I13" s="31"/>
      <c r="J13" s="31"/>
      <c r="K13" s="31"/>
      <c r="L13" s="58"/>
      <c r="M13" s="31"/>
      <c r="N13" s="31"/>
      <c r="O13" s="31"/>
      <c r="P13" s="31"/>
      <c r="Q13" s="31"/>
      <c r="R13" s="59"/>
      <c r="S13" s="31"/>
      <c r="T13" s="31"/>
      <c r="U13" s="1"/>
      <c r="V13" s="1"/>
      <c r="W13" s="1"/>
      <c r="X13" s="1"/>
      <c r="Y13" s="1"/>
      <c r="Z13" s="1"/>
      <c r="AA13" s="1"/>
      <c r="AB13" s="1"/>
    </row>
    <row r="14">
      <c r="A14" s="39">
        <v>6.0</v>
      </c>
      <c r="B14" s="40" t="s">
        <v>32</v>
      </c>
      <c r="C14" s="40">
        <v>1.60124050206E11</v>
      </c>
      <c r="D14" s="43" t="s">
        <v>21</v>
      </c>
      <c r="E14" s="46" t="b">
        <v>1</v>
      </c>
      <c r="F14" s="57" t="s">
        <v>33</v>
      </c>
      <c r="G14" s="57">
        <v>32.0</v>
      </c>
      <c r="H14" s="67"/>
      <c r="I14" s="31"/>
      <c r="J14" s="31"/>
      <c r="K14" s="31"/>
      <c r="L14" s="58"/>
      <c r="M14" s="31"/>
      <c r="N14" s="31"/>
      <c r="O14" s="31"/>
      <c r="P14" s="31"/>
      <c r="Q14" s="31"/>
      <c r="R14" s="59"/>
      <c r="S14" s="31"/>
      <c r="T14" s="31"/>
      <c r="U14" s="1"/>
      <c r="V14" s="1"/>
      <c r="W14" s="1"/>
      <c r="X14" s="1"/>
      <c r="Y14" s="1"/>
      <c r="Z14" s="1"/>
      <c r="AA14" s="1"/>
      <c r="AB14" s="1"/>
    </row>
    <row r="15">
      <c r="A15" s="52">
        <v>7.0</v>
      </c>
      <c r="B15" s="40" t="s">
        <v>35</v>
      </c>
      <c r="C15" s="40">
        <v>1.60111050442E11</v>
      </c>
      <c r="D15" s="43" t="s">
        <v>21</v>
      </c>
      <c r="E15" s="46" t="b">
        <v>1</v>
      </c>
      <c r="F15" s="47"/>
      <c r="G15" s="48">
        <v>11.0</v>
      </c>
      <c r="H15" s="1"/>
      <c r="I15" s="31"/>
      <c r="J15" s="31"/>
      <c r="K15" s="31"/>
      <c r="L15" s="58"/>
      <c r="M15" s="31"/>
      <c r="N15" s="31"/>
      <c r="O15" s="31"/>
      <c r="P15" s="31"/>
      <c r="Q15" s="31"/>
      <c r="R15" s="59"/>
      <c r="S15" s="31"/>
      <c r="T15" s="31"/>
      <c r="U15" s="1"/>
      <c r="V15" s="1"/>
      <c r="W15" s="1"/>
      <c r="X15" s="1"/>
      <c r="Y15" s="1"/>
      <c r="Z15" s="1"/>
      <c r="AA15" s="1"/>
      <c r="AB15" s="1"/>
    </row>
    <row r="16">
      <c r="A16" s="39">
        <v>8.0</v>
      </c>
      <c r="B16" s="40" t="s">
        <v>37</v>
      </c>
      <c r="C16" s="40">
        <v>1.60228050171E11</v>
      </c>
      <c r="D16" s="43" t="s">
        <v>21</v>
      </c>
      <c r="E16" s="46" t="b">
        <v>1</v>
      </c>
      <c r="F16" s="55"/>
      <c r="G16" s="57">
        <v>11.0</v>
      </c>
      <c r="H16" s="1"/>
      <c r="I16" s="31"/>
      <c r="J16" s="31"/>
      <c r="K16" s="31"/>
      <c r="L16" s="58"/>
      <c r="M16" s="31"/>
      <c r="N16" s="31"/>
      <c r="O16" s="31"/>
      <c r="P16" s="31"/>
      <c r="Q16" s="31"/>
      <c r="R16" s="59"/>
      <c r="S16" s="31"/>
      <c r="T16" s="31"/>
      <c r="U16" s="1"/>
      <c r="V16" s="1"/>
      <c r="W16" s="1"/>
      <c r="X16" s="1"/>
      <c r="Y16" s="1"/>
      <c r="Z16" s="1"/>
      <c r="AA16" s="1"/>
      <c r="AB16" s="1"/>
    </row>
    <row r="17">
      <c r="A17" s="52">
        <v>9.0</v>
      </c>
      <c r="B17" s="40" t="s">
        <v>38</v>
      </c>
      <c r="C17" s="40">
        <v>1.60421102316E11</v>
      </c>
      <c r="D17" s="43" t="s">
        <v>29</v>
      </c>
      <c r="E17" s="46" t="b">
        <v>1</v>
      </c>
      <c r="F17" s="57" t="s">
        <v>33</v>
      </c>
      <c r="G17" s="48">
        <v>32.0</v>
      </c>
      <c r="H17" s="1"/>
      <c r="I17" s="31"/>
      <c r="J17" s="31"/>
      <c r="K17" s="31"/>
      <c r="L17" s="58"/>
      <c r="M17" s="31"/>
      <c r="N17" s="31"/>
      <c r="O17" s="31"/>
      <c r="P17" s="31"/>
      <c r="Q17" s="31"/>
      <c r="R17" s="59"/>
      <c r="S17" s="70"/>
      <c r="T17" s="31"/>
      <c r="U17" s="1"/>
      <c r="V17" s="1"/>
      <c r="W17" s="1"/>
      <c r="X17" s="1"/>
      <c r="Y17" s="1"/>
      <c r="Z17" s="1"/>
      <c r="AA17" s="1"/>
      <c r="AB17" s="1"/>
    </row>
    <row r="18">
      <c r="A18" s="39">
        <v>10.0</v>
      </c>
      <c r="B18" s="40" t="s">
        <v>39</v>
      </c>
      <c r="C18" s="40">
        <v>1.61122050469E11</v>
      </c>
      <c r="D18" s="43" t="s">
        <v>21</v>
      </c>
      <c r="E18" s="46" t="b">
        <v>1</v>
      </c>
      <c r="F18" s="55"/>
      <c r="G18" s="57">
        <v>11.0</v>
      </c>
      <c r="H18" s="1"/>
      <c r="I18" s="31"/>
      <c r="J18" s="31"/>
      <c r="K18" s="31"/>
      <c r="L18" s="58"/>
      <c r="M18" s="31"/>
      <c r="N18" s="31"/>
      <c r="O18" s="31"/>
      <c r="P18" s="31"/>
      <c r="Q18" s="31"/>
      <c r="R18" s="59"/>
      <c r="S18" s="31"/>
      <c r="T18" s="31"/>
      <c r="U18" s="1"/>
      <c r="V18" s="1"/>
      <c r="W18" s="1"/>
      <c r="X18" s="1"/>
      <c r="Y18" s="1"/>
      <c r="Z18" s="1"/>
      <c r="AA18" s="1"/>
      <c r="AB18" s="1"/>
    </row>
    <row r="19">
      <c r="A19" s="52">
        <v>11.0</v>
      </c>
      <c r="B19" s="40" t="s">
        <v>40</v>
      </c>
      <c r="C19" s="40">
        <v>1.60316050104E11</v>
      </c>
      <c r="D19" s="43" t="s">
        <v>29</v>
      </c>
      <c r="E19" s="46" t="b">
        <v>1</v>
      </c>
      <c r="F19" s="47"/>
      <c r="G19" s="48">
        <v>11.0</v>
      </c>
      <c r="H19" s="1"/>
      <c r="I19" s="31"/>
      <c r="J19" s="31"/>
      <c r="K19" s="31"/>
      <c r="L19" s="58"/>
      <c r="M19" s="31"/>
      <c r="N19" s="31"/>
      <c r="O19" s="31"/>
      <c r="P19" s="31"/>
      <c r="Q19" s="31"/>
      <c r="R19" s="59"/>
      <c r="S19" s="31"/>
      <c r="T19" s="31"/>
      <c r="U19" s="1"/>
      <c r="V19" s="1"/>
      <c r="W19" s="1"/>
      <c r="X19" s="1"/>
      <c r="Y19" s="1"/>
      <c r="Z19" s="1"/>
      <c r="AA19" s="1"/>
      <c r="AB19" s="1"/>
    </row>
    <row r="20">
      <c r="A20" s="39">
        <v>12.0</v>
      </c>
      <c r="B20" s="40" t="s">
        <v>43</v>
      </c>
      <c r="C20" s="40">
        <v>1.60307050487E11</v>
      </c>
      <c r="D20" s="43" t="s">
        <v>21</v>
      </c>
      <c r="E20" s="46" t="b">
        <v>1</v>
      </c>
      <c r="F20" s="55"/>
      <c r="G20" s="57">
        <v>11.0</v>
      </c>
      <c r="H20" s="1"/>
      <c r="I20" s="31"/>
      <c r="J20" s="31"/>
      <c r="K20" s="31"/>
      <c r="L20" s="58"/>
      <c r="M20" s="31"/>
      <c r="N20" s="31"/>
      <c r="O20" s="31"/>
      <c r="P20" s="31"/>
      <c r="Q20" s="31"/>
      <c r="R20" s="59"/>
      <c r="S20" s="31"/>
      <c r="T20" s="31"/>
      <c r="U20" s="1"/>
      <c r="V20" s="1"/>
      <c r="W20" s="1"/>
      <c r="X20" s="1"/>
      <c r="Y20" s="1"/>
      <c r="Z20" s="1"/>
      <c r="AA20" s="1"/>
      <c r="AB20" s="1"/>
    </row>
    <row r="21">
      <c r="A21" s="52">
        <v>13.0</v>
      </c>
      <c r="B21" s="40" t="s">
        <v>45</v>
      </c>
      <c r="C21" s="40">
        <v>1.61204050163E11</v>
      </c>
      <c r="D21" s="43" t="s">
        <v>29</v>
      </c>
      <c r="E21" s="46" t="b">
        <v>1</v>
      </c>
      <c r="F21" s="57" t="s">
        <v>33</v>
      </c>
      <c r="G21" s="48">
        <v>32.0</v>
      </c>
      <c r="H21" s="1"/>
      <c r="I21" s="31"/>
      <c r="J21" s="31"/>
      <c r="K21" s="31"/>
      <c r="L21" s="58"/>
      <c r="M21" s="31"/>
      <c r="N21" s="31"/>
      <c r="O21" s="31"/>
      <c r="P21" s="31"/>
      <c r="Q21" s="31"/>
      <c r="R21" s="59"/>
      <c r="S21" s="31"/>
      <c r="T21" s="31"/>
      <c r="U21" s="1"/>
      <c r="V21" s="1"/>
      <c r="W21" s="1"/>
      <c r="X21" s="1"/>
      <c r="Y21" s="1"/>
      <c r="Z21" s="1"/>
      <c r="AA21" s="1"/>
      <c r="AB21" s="1"/>
    </row>
    <row r="22">
      <c r="A22" s="39">
        <v>14.0</v>
      </c>
      <c r="B22" s="40" t="s">
        <v>46</v>
      </c>
      <c r="C22" s="40">
        <v>1.60901050172E11</v>
      </c>
      <c r="D22" s="63" t="s">
        <v>29</v>
      </c>
      <c r="E22" s="46" t="b">
        <v>1</v>
      </c>
      <c r="F22" s="55"/>
      <c r="G22" s="57">
        <v>11.0</v>
      </c>
      <c r="H22" s="1"/>
      <c r="I22" s="31"/>
      <c r="J22" s="31"/>
      <c r="K22" s="31"/>
      <c r="L22" s="58"/>
      <c r="M22" s="31"/>
      <c r="N22" s="31"/>
      <c r="O22" s="31"/>
      <c r="P22" s="31"/>
      <c r="Q22" s="31"/>
      <c r="R22" s="59"/>
      <c r="S22" s="31"/>
      <c r="T22" s="31"/>
      <c r="U22" s="1"/>
      <c r="V22" s="1"/>
      <c r="W22" s="1"/>
      <c r="X22" s="1"/>
      <c r="Y22" s="1"/>
      <c r="Z22" s="1"/>
      <c r="AA22" s="1"/>
      <c r="AB22" s="1"/>
    </row>
    <row r="23">
      <c r="A23" s="52">
        <v>15.0</v>
      </c>
      <c r="B23" s="40" t="s">
        <v>47</v>
      </c>
      <c r="C23" s="40">
        <v>1.60127050623E11</v>
      </c>
      <c r="D23" s="63" t="s">
        <v>21</v>
      </c>
      <c r="E23" s="46" t="b">
        <v>1</v>
      </c>
      <c r="F23" s="47"/>
      <c r="G23" s="48">
        <v>11.0</v>
      </c>
      <c r="H23" s="1"/>
      <c r="I23" s="31"/>
      <c r="J23" s="31"/>
      <c r="K23" s="31"/>
      <c r="L23" s="58"/>
      <c r="M23" s="31"/>
      <c r="N23" s="31"/>
      <c r="O23" s="31"/>
      <c r="P23" s="31"/>
      <c r="Q23" s="31"/>
      <c r="R23" s="59"/>
      <c r="S23" s="31"/>
      <c r="T23" s="31"/>
      <c r="U23" s="1"/>
      <c r="V23" s="1"/>
      <c r="W23" s="1"/>
      <c r="X23" s="1"/>
      <c r="Y23" s="1"/>
      <c r="Z23" s="1"/>
      <c r="AA23" s="1"/>
      <c r="AB23" s="1"/>
    </row>
    <row r="24">
      <c r="A24" s="39">
        <v>16.0</v>
      </c>
      <c r="B24" s="40" t="s">
        <v>49</v>
      </c>
      <c r="C24" s="40">
        <v>1.60401160228E11</v>
      </c>
      <c r="D24" s="63" t="s">
        <v>29</v>
      </c>
      <c r="E24" s="46" t="b">
        <v>1</v>
      </c>
      <c r="F24" s="55"/>
      <c r="G24" s="57">
        <v>11.0</v>
      </c>
      <c r="H24" s="1"/>
      <c r="I24" s="31"/>
      <c r="J24" s="31"/>
      <c r="K24" s="31"/>
      <c r="L24" s="58"/>
      <c r="M24" s="31"/>
      <c r="N24" s="31"/>
      <c r="O24" s="31"/>
      <c r="P24" s="31"/>
      <c r="Q24" s="31"/>
      <c r="R24" s="59"/>
      <c r="S24" s="31"/>
      <c r="T24" s="31"/>
      <c r="U24" s="1"/>
      <c r="V24" s="1"/>
      <c r="W24" s="1"/>
      <c r="X24" s="1"/>
      <c r="Y24" s="1"/>
      <c r="Z24" s="1"/>
      <c r="AA24" s="1"/>
      <c r="AB24" s="1"/>
    </row>
    <row r="25">
      <c r="A25" s="52">
        <v>17.0</v>
      </c>
      <c r="B25" s="40" t="s">
        <v>52</v>
      </c>
      <c r="C25" s="40">
        <v>1.61102050541E11</v>
      </c>
      <c r="D25" s="63" t="s">
        <v>21</v>
      </c>
      <c r="E25" s="46" t="b">
        <v>1</v>
      </c>
      <c r="F25" s="47"/>
      <c r="G25" s="48">
        <v>11.0</v>
      </c>
      <c r="H25" s="1"/>
      <c r="I25" s="31"/>
      <c r="J25" s="31"/>
      <c r="K25" s="31"/>
      <c r="L25" s="58"/>
      <c r="M25" s="31"/>
      <c r="N25" s="31"/>
      <c r="O25" s="31"/>
      <c r="P25" s="31"/>
      <c r="Q25" s="31"/>
      <c r="R25" s="59"/>
      <c r="S25" s="31"/>
      <c r="T25" s="31"/>
      <c r="U25" s="1"/>
      <c r="V25" s="1"/>
      <c r="W25" s="1"/>
      <c r="X25" s="1"/>
      <c r="Y25" s="1"/>
      <c r="Z25" s="1"/>
      <c r="AA25" s="1"/>
      <c r="AB25" s="1"/>
    </row>
    <row r="26">
      <c r="A26" s="39">
        <v>18.0</v>
      </c>
      <c r="B26" s="40" t="s">
        <v>53</v>
      </c>
      <c r="C26" s="40">
        <v>1.6090301174E11</v>
      </c>
      <c r="D26" s="63" t="s">
        <v>29</v>
      </c>
      <c r="E26" s="46" t="b">
        <v>1</v>
      </c>
      <c r="F26" s="55"/>
      <c r="G26" s="57">
        <v>11.0</v>
      </c>
      <c r="H26" s="1"/>
      <c r="I26" s="31"/>
      <c r="J26" s="31"/>
      <c r="K26" s="31"/>
      <c r="L26" s="58"/>
      <c r="M26" s="31"/>
      <c r="N26" s="31"/>
      <c r="O26" s="31"/>
      <c r="P26" s="31"/>
      <c r="Q26" s="31"/>
      <c r="R26" s="59"/>
      <c r="S26" s="31"/>
      <c r="T26" s="31"/>
      <c r="U26" s="1"/>
      <c r="V26" s="1"/>
      <c r="W26" s="1"/>
      <c r="X26" s="1"/>
      <c r="Y26" s="1"/>
      <c r="Z26" s="1"/>
      <c r="AA26" s="1"/>
      <c r="AB26" s="1"/>
    </row>
    <row r="27">
      <c r="A27" s="52">
        <v>19.0</v>
      </c>
      <c r="B27" s="40" t="s">
        <v>54</v>
      </c>
      <c r="C27" s="40">
        <v>1.61028102509E11</v>
      </c>
      <c r="D27" s="63" t="s">
        <v>21</v>
      </c>
      <c r="E27" s="46" t="b">
        <v>1</v>
      </c>
      <c r="F27" s="47"/>
      <c r="G27" s="48">
        <v>11.0</v>
      </c>
      <c r="H27" s="1"/>
      <c r="I27" s="31"/>
      <c r="J27" s="31"/>
      <c r="K27" s="31"/>
      <c r="L27" s="58"/>
      <c r="M27" s="31"/>
      <c r="N27" s="31"/>
      <c r="O27" s="31"/>
      <c r="P27" s="31"/>
      <c r="Q27" s="31"/>
      <c r="R27" s="59"/>
      <c r="S27" s="31"/>
      <c r="T27" s="31"/>
      <c r="U27" s="1"/>
      <c r="V27" s="1"/>
      <c r="W27" s="1"/>
      <c r="X27" s="1"/>
      <c r="Y27" s="1"/>
      <c r="Z27" s="1"/>
      <c r="AA27" s="1"/>
      <c r="AB27" s="1"/>
    </row>
    <row r="28">
      <c r="A28" s="39">
        <v>20.0</v>
      </c>
      <c r="B28" s="40" t="s">
        <v>55</v>
      </c>
      <c r="C28" s="40">
        <v>1.60906160282E11</v>
      </c>
      <c r="D28" s="63" t="s">
        <v>29</v>
      </c>
      <c r="E28" s="46" t="b">
        <v>1</v>
      </c>
      <c r="F28" s="55"/>
      <c r="G28" s="57">
        <v>11.0</v>
      </c>
      <c r="H28" s="1"/>
      <c r="I28" s="31"/>
      <c r="J28" s="31"/>
      <c r="K28" s="31"/>
      <c r="L28" s="58"/>
      <c r="M28" s="31"/>
      <c r="N28" s="31"/>
      <c r="O28" s="31"/>
      <c r="P28" s="31"/>
      <c r="Q28" s="31"/>
      <c r="R28" s="59"/>
      <c r="S28" s="31"/>
      <c r="T28" s="31"/>
      <c r="U28" s="1"/>
      <c r="V28" s="1"/>
      <c r="W28" s="1"/>
      <c r="X28" s="1"/>
      <c r="Y28" s="1"/>
      <c r="Z28" s="1"/>
      <c r="AA28" s="1"/>
      <c r="AB28" s="1"/>
    </row>
    <row r="29">
      <c r="A29" s="52">
        <v>21.0</v>
      </c>
      <c r="B29" s="40" t="s">
        <v>57</v>
      </c>
      <c r="C29" s="40">
        <v>1.61225050381E11</v>
      </c>
      <c r="D29" s="63" t="s">
        <v>21</v>
      </c>
      <c r="E29" s="46" t="b">
        <v>1</v>
      </c>
      <c r="F29" s="57" t="s">
        <v>33</v>
      </c>
      <c r="G29" s="48">
        <v>32.0</v>
      </c>
      <c r="H29" s="1"/>
      <c r="I29" s="31"/>
      <c r="J29" s="31"/>
      <c r="K29" s="31"/>
      <c r="L29" s="58"/>
      <c r="M29" s="31"/>
      <c r="N29" s="31"/>
      <c r="O29" s="31"/>
      <c r="P29" s="31"/>
      <c r="Q29" s="31"/>
      <c r="R29" s="59"/>
      <c r="S29" s="31"/>
      <c r="T29" s="31"/>
      <c r="U29" s="1"/>
      <c r="V29" s="1"/>
      <c r="W29" s="1"/>
      <c r="X29" s="1"/>
      <c r="Y29" s="1"/>
      <c r="Z29" s="1"/>
      <c r="AA29" s="1"/>
      <c r="AB29" s="1"/>
    </row>
    <row r="30">
      <c r="A30" s="39">
        <v>22.0</v>
      </c>
      <c r="B30" s="40" t="s">
        <v>58</v>
      </c>
      <c r="C30" s="40">
        <v>1.60831050395E11</v>
      </c>
      <c r="D30" s="63" t="s">
        <v>29</v>
      </c>
      <c r="E30" s="46" t="b">
        <v>1</v>
      </c>
      <c r="F30" s="47"/>
      <c r="G30" s="48">
        <v>11.0</v>
      </c>
      <c r="H30" s="1"/>
      <c r="I30" s="31"/>
      <c r="J30" s="31"/>
      <c r="K30" s="31"/>
      <c r="L30" s="58"/>
      <c r="M30" s="31"/>
      <c r="N30" s="31"/>
      <c r="O30" s="31"/>
      <c r="P30" s="31"/>
      <c r="Q30" s="31"/>
      <c r="R30" s="59"/>
      <c r="S30" s="31"/>
      <c r="T30" s="31"/>
      <c r="U30" s="1"/>
      <c r="V30" s="1"/>
      <c r="W30" s="1"/>
      <c r="X30" s="1"/>
      <c r="Y30" s="1"/>
      <c r="Z30" s="1"/>
      <c r="AA30" s="1"/>
      <c r="AB30" s="1"/>
    </row>
    <row r="31">
      <c r="A31" s="52">
        <v>23.0</v>
      </c>
      <c r="B31" s="40" t="s">
        <v>60</v>
      </c>
      <c r="C31" s="40">
        <v>1.61007050754E11</v>
      </c>
      <c r="D31" s="63" t="s">
        <v>21</v>
      </c>
      <c r="E31" s="46" t="b">
        <v>1</v>
      </c>
      <c r="F31" s="55"/>
      <c r="G31" s="57">
        <v>11.0</v>
      </c>
      <c r="H31" s="1"/>
      <c r="I31" s="31"/>
      <c r="J31" s="31"/>
      <c r="K31" s="31"/>
      <c r="L31" s="58"/>
      <c r="M31" s="31"/>
      <c r="N31" s="31"/>
      <c r="O31" s="31"/>
      <c r="P31" s="31"/>
      <c r="Q31" s="31"/>
      <c r="R31" s="59"/>
      <c r="S31" s="31"/>
      <c r="T31" s="31"/>
      <c r="U31" s="1"/>
      <c r="V31" s="1"/>
      <c r="W31" s="1"/>
      <c r="X31" s="1"/>
      <c r="Y31" s="1"/>
      <c r="Z31" s="1"/>
      <c r="AA31" s="1"/>
      <c r="AB31" s="1"/>
    </row>
    <row r="32">
      <c r="A32" s="39">
        <v>24.0</v>
      </c>
      <c r="B32" s="40" t="s">
        <v>61</v>
      </c>
      <c r="C32" s="77">
        <v>1.60717050519E11</v>
      </c>
      <c r="D32" s="63" t="s">
        <v>29</v>
      </c>
      <c r="E32" s="46" t="b">
        <v>1</v>
      </c>
      <c r="F32" s="78"/>
      <c r="G32" s="79">
        <v>11.0</v>
      </c>
      <c r="H32" s="1"/>
      <c r="I32" s="31"/>
      <c r="J32" s="31"/>
      <c r="K32" s="1"/>
      <c r="L32" s="1"/>
      <c r="M32" s="1"/>
      <c r="N32" s="28"/>
      <c r="O32" s="37"/>
      <c r="P32" s="37"/>
      <c r="Q32" s="31"/>
      <c r="R32" s="31"/>
      <c r="S32" s="31"/>
      <c r="T32" s="31"/>
      <c r="U32" s="1"/>
      <c r="V32" s="1"/>
      <c r="W32" s="1"/>
      <c r="X32" s="1"/>
      <c r="Y32" s="1"/>
      <c r="Z32" s="1"/>
      <c r="AA32" s="1"/>
      <c r="AB32" s="1"/>
    </row>
    <row r="33">
      <c r="A33" s="52">
        <v>25.0</v>
      </c>
      <c r="B33" s="83"/>
      <c r="C33" s="84"/>
      <c r="D33" s="85"/>
      <c r="E33" s="61"/>
      <c r="F33" s="61"/>
      <c r="G33" s="47"/>
      <c r="H33" s="1"/>
      <c r="I33" s="1"/>
      <c r="J33" s="1"/>
      <c r="K33" s="1"/>
      <c r="L33" s="1"/>
      <c r="M33" s="1"/>
      <c r="N33" s="28"/>
      <c r="O33" s="37"/>
      <c r="P33" s="37"/>
      <c r="Q33" s="31"/>
      <c r="R33" s="31"/>
      <c r="S33" s="31"/>
      <c r="T33" s="31"/>
      <c r="U33" s="1"/>
      <c r="V33" s="1"/>
      <c r="W33" s="1"/>
      <c r="X33" s="1"/>
      <c r="Y33" s="1"/>
      <c r="Z33" s="1"/>
      <c r="AA33" s="1"/>
      <c r="AB33" s="1"/>
    </row>
    <row r="34">
      <c r="A34" s="39">
        <v>26.0</v>
      </c>
      <c r="B34" s="86"/>
      <c r="C34" s="87"/>
      <c r="D34" s="88"/>
      <c r="E34" s="80"/>
      <c r="F34" s="80"/>
      <c r="G34" s="55"/>
      <c r="H34" s="1"/>
      <c r="I34" s="1"/>
      <c r="J34" s="1"/>
      <c r="K34" s="1"/>
      <c r="L34" s="1"/>
      <c r="M34" s="1"/>
      <c r="N34" s="28"/>
      <c r="O34" s="37"/>
      <c r="P34" s="37"/>
      <c r="Q34" s="31"/>
      <c r="R34" s="31"/>
      <c r="S34" s="31"/>
      <c r="T34" s="31"/>
      <c r="U34" s="1"/>
      <c r="V34" s="1"/>
      <c r="W34" s="1"/>
      <c r="X34" s="1"/>
      <c r="Y34" s="1"/>
      <c r="Z34" s="1"/>
      <c r="AA34" s="1"/>
      <c r="AB34" s="1"/>
    </row>
    <row r="35">
      <c r="A35" s="39">
        <v>27.0</v>
      </c>
      <c r="B35" s="83"/>
      <c r="C35" s="84"/>
      <c r="D35" s="89"/>
      <c r="E35" s="61"/>
      <c r="F35" s="61"/>
      <c r="G35" s="47"/>
      <c r="H35" s="1"/>
      <c r="I35" s="1"/>
      <c r="J35" s="1"/>
      <c r="K35" s="1"/>
      <c r="L35" s="1"/>
      <c r="M35" s="1"/>
      <c r="N35" s="28"/>
      <c r="O35" s="37"/>
      <c r="P35" s="37"/>
      <c r="Q35" s="31"/>
      <c r="R35" s="31"/>
      <c r="S35" s="31"/>
      <c r="T35" s="31"/>
      <c r="U35" s="1"/>
      <c r="V35" s="1"/>
      <c r="W35" s="1"/>
      <c r="X35" s="1"/>
      <c r="Y35" s="1"/>
      <c r="Z35" s="1"/>
      <c r="AA35" s="1"/>
      <c r="AB35" s="1"/>
    </row>
    <row r="36">
      <c r="A36" s="52">
        <v>28.0</v>
      </c>
      <c r="B36" s="90"/>
      <c r="C36" s="91"/>
      <c r="D36" s="89"/>
      <c r="E36" s="61"/>
      <c r="F36" s="61"/>
      <c r="G36" s="47"/>
      <c r="H36" s="1"/>
      <c r="I36" s="1"/>
      <c r="J36" s="1"/>
      <c r="K36" s="1"/>
      <c r="L36" s="1"/>
      <c r="M36" s="1"/>
      <c r="N36" s="28"/>
      <c r="O36" s="37"/>
      <c r="P36" s="37"/>
      <c r="Q36" s="31"/>
      <c r="R36" s="92"/>
      <c r="S36" s="92"/>
      <c r="T36" s="92"/>
      <c r="U36" s="1"/>
      <c r="V36" s="1"/>
      <c r="W36" s="1"/>
      <c r="X36" s="1"/>
      <c r="Y36" s="1"/>
      <c r="Z36" s="1"/>
      <c r="AA36" s="1"/>
      <c r="AB36" s="1"/>
    </row>
    <row r="37">
      <c r="A37" s="39">
        <v>29.0</v>
      </c>
      <c r="B37" s="94"/>
      <c r="C37" s="95"/>
      <c r="D37" s="97">
        <f>D38+D39</f>
        <v>25</v>
      </c>
      <c r="E37" s="99"/>
      <c r="F37" s="99"/>
      <c r="G37" s="100">
        <f>SUM(G9:G32)</f>
        <v>347</v>
      </c>
      <c r="H37" s="1"/>
      <c r="I37" s="1"/>
      <c r="J37" s="1"/>
      <c r="K37" s="1"/>
      <c r="L37" s="1"/>
      <c r="M37" s="1"/>
      <c r="N37" s="28"/>
      <c r="O37" s="37"/>
      <c r="P37" s="37"/>
      <c r="Q37" s="3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102" t="s">
        <v>73</v>
      </c>
      <c r="B38" s="14"/>
      <c r="C38" s="15"/>
      <c r="D38" s="103">
        <f>COUNTIF(D9:D35,"L")</f>
        <v>11</v>
      </c>
      <c r="E38" s="99"/>
      <c r="F38" s="99"/>
      <c r="G38" s="104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102" t="s">
        <v>76</v>
      </c>
      <c r="B39" s="14"/>
      <c r="C39" s="15"/>
      <c r="D39" s="97">
        <v>14.0</v>
      </c>
      <c r="E39" s="99"/>
      <c r="F39" s="99"/>
      <c r="G39" s="104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1"/>
      <c r="C40" s="1"/>
      <c r="D40" s="1"/>
      <c r="E40" s="1"/>
      <c r="F40" s="1"/>
      <c r="G40" s="4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1"/>
      <c r="F41" s="1"/>
      <c r="G41" s="4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1"/>
      <c r="C42" s="105"/>
      <c r="D42" s="106"/>
      <c r="E42" s="1"/>
      <c r="F42" s="1"/>
      <c r="G42" s="4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"/>
      <c r="B43" s="1"/>
      <c r="C43" s="1"/>
      <c r="D43" s="1"/>
      <c r="E43" s="1"/>
      <c r="F43" s="1"/>
      <c r="G43" s="4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"/>
      <c r="B44" s="1"/>
      <c r="C44" s="1"/>
      <c r="D44" s="1"/>
      <c r="E44" s="1"/>
      <c r="F44" s="1"/>
      <c r="G44" s="4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1"/>
      <c r="B45" s="1"/>
      <c r="C45" s="1"/>
      <c r="D45" s="1"/>
      <c r="E45" s="1"/>
      <c r="F45" s="1"/>
      <c r="G45" s="4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"/>
      <c r="B46" s="1"/>
      <c r="C46" s="1"/>
      <c r="D46" s="1"/>
      <c r="E46" s="1"/>
      <c r="F46" s="1"/>
      <c r="G46" s="4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"/>
      <c r="B47" s="1"/>
      <c r="C47" s="1"/>
      <c r="D47" s="1"/>
      <c r="E47" s="1"/>
      <c r="F47" s="1"/>
      <c r="G47" s="4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/>
      <c r="B48" s="1"/>
      <c r="C48" s="1"/>
      <c r="D48" s="1"/>
      <c r="E48" s="1"/>
      <c r="F48" s="1"/>
      <c r="G48" s="4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/>
      <c r="B49" s="1"/>
      <c r="C49" s="1"/>
      <c r="D49" s="1"/>
      <c r="E49" s="1"/>
      <c r="F49" s="1"/>
      <c r="G49" s="4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/>
      <c r="B50" s="1"/>
      <c r="C50" s="1"/>
      <c r="D50" s="1"/>
      <c r="E50" s="1"/>
      <c r="F50" s="1"/>
      <c r="G50" s="4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/>
      <c r="B51" s="1"/>
      <c r="C51" s="1"/>
      <c r="D51" s="1"/>
      <c r="E51" s="1"/>
      <c r="F51" s="1"/>
      <c r="G51" s="4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1"/>
      <c r="C52" s="1"/>
      <c r="D52" s="1"/>
      <c r="E52" s="1"/>
      <c r="F52" s="1"/>
      <c r="G52" s="4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1"/>
      <c r="C53" s="1"/>
      <c r="D53" s="1"/>
      <c r="E53" s="1"/>
      <c r="F53" s="1"/>
      <c r="G53" s="4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1"/>
      <c r="C54" s="1"/>
      <c r="D54" s="1"/>
      <c r="E54" s="1"/>
      <c r="F54" s="1"/>
      <c r="G54" s="4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1"/>
      <c r="C55" s="1"/>
      <c r="D55" s="1"/>
      <c r="E55" s="1"/>
      <c r="F55" s="1"/>
      <c r="G55" s="4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1"/>
      <c r="C56" s="1"/>
      <c r="D56" s="1"/>
      <c r="E56" s="1"/>
      <c r="F56" s="1"/>
      <c r="G56" s="4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1"/>
      <c r="C57" s="1"/>
      <c r="D57" s="1"/>
      <c r="E57" s="1"/>
      <c r="F57" s="1"/>
      <c r="G57" s="4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1"/>
      <c r="C58" s="1"/>
      <c r="D58" s="1"/>
      <c r="E58" s="1"/>
      <c r="F58" s="1"/>
      <c r="G58" s="4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1"/>
      <c r="C59" s="1"/>
      <c r="D59" s="1"/>
      <c r="E59" s="1"/>
      <c r="F59" s="1"/>
      <c r="G59" s="4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1"/>
      <c r="C60" s="1"/>
      <c r="D60" s="1"/>
      <c r="E60" s="1"/>
      <c r="F60" s="1"/>
      <c r="G60" s="4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1"/>
      <c r="C61" s="1"/>
      <c r="D61" s="1"/>
      <c r="E61" s="1"/>
      <c r="F61" s="1"/>
      <c r="G61" s="4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1"/>
      <c r="C62" s="1"/>
      <c r="D62" s="1"/>
      <c r="E62" s="1"/>
      <c r="F62" s="1"/>
      <c r="G62" s="4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1"/>
      <c r="C63" s="1"/>
      <c r="D63" s="1"/>
      <c r="E63" s="1"/>
      <c r="F63" s="1"/>
      <c r="G63" s="4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"/>
      <c r="C64" s="1"/>
      <c r="D64" s="1"/>
      <c r="E64" s="1"/>
      <c r="F64" s="1"/>
      <c r="G64" s="4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"/>
      <c r="C65" s="1"/>
      <c r="D65" s="1"/>
      <c r="E65" s="1"/>
      <c r="F65" s="1"/>
      <c r="G65" s="4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1"/>
      <c r="C66" s="1"/>
      <c r="D66" s="1"/>
      <c r="E66" s="1"/>
      <c r="F66" s="1"/>
      <c r="G66" s="4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1"/>
      <c r="C67" s="1"/>
      <c r="D67" s="1"/>
      <c r="E67" s="1"/>
      <c r="F67" s="1"/>
      <c r="G67" s="4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1"/>
      <c r="C68" s="1"/>
      <c r="D68" s="1"/>
      <c r="E68" s="1"/>
      <c r="F68" s="1"/>
      <c r="G68" s="4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1"/>
      <c r="C69" s="1"/>
      <c r="D69" s="1"/>
      <c r="E69" s="1"/>
      <c r="F69" s="1"/>
      <c r="G69" s="4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1"/>
      <c r="C70" s="1"/>
      <c r="D70" s="1"/>
      <c r="E70" s="1"/>
      <c r="F70" s="1"/>
      <c r="G70" s="4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1"/>
      <c r="C71" s="1"/>
      <c r="D71" s="1"/>
      <c r="E71" s="1"/>
      <c r="F71" s="1"/>
      <c r="G71" s="4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1"/>
      <c r="C72" s="1"/>
      <c r="D72" s="1"/>
      <c r="E72" s="1"/>
      <c r="F72" s="1"/>
      <c r="G72" s="4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1"/>
      <c r="C73" s="1"/>
      <c r="D73" s="1"/>
      <c r="E73" s="1"/>
      <c r="F73" s="1"/>
      <c r="G73" s="4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1"/>
      <c r="C74" s="1"/>
      <c r="D74" s="1"/>
      <c r="E74" s="1"/>
      <c r="F74" s="1"/>
      <c r="G74" s="4"/>
      <c r="H74" s="67" t="s">
        <v>99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1"/>
      <c r="C75" s="1"/>
      <c r="D75" s="1"/>
      <c r="E75" s="1"/>
      <c r="F75" s="1"/>
      <c r="G75" s="4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"/>
      <c r="C76" s="1"/>
      <c r="D76" s="1"/>
      <c r="E76" s="1"/>
      <c r="F76" s="1"/>
      <c r="G76" s="4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"/>
      <c r="C77" s="1"/>
      <c r="D77" s="1"/>
      <c r="E77" s="1"/>
      <c r="F77" s="1"/>
      <c r="G77" s="4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"/>
      <c r="C78" s="1"/>
      <c r="D78" s="1"/>
      <c r="E78" s="1"/>
      <c r="F78" s="1"/>
      <c r="G78" s="4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"/>
      <c r="C79" s="1"/>
      <c r="D79" s="1"/>
      <c r="E79" s="1"/>
      <c r="F79" s="1"/>
      <c r="G79" s="4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1"/>
      <c r="C80" s="1"/>
      <c r="D80" s="1"/>
      <c r="E80" s="1"/>
      <c r="F80" s="1"/>
      <c r="G80" s="4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1"/>
      <c r="C81" s="1"/>
      <c r="D81" s="1"/>
      <c r="E81" s="1"/>
      <c r="F81" s="1"/>
      <c r="G81" s="4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1"/>
      <c r="C82" s="1"/>
      <c r="D82" s="1"/>
      <c r="E82" s="1"/>
      <c r="F82" s="1"/>
      <c r="G82" s="4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1"/>
      <c r="C83" s="1"/>
      <c r="D83" s="1"/>
      <c r="E83" s="1"/>
      <c r="F83" s="1"/>
      <c r="G83" s="4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1"/>
      <c r="C84" s="1"/>
      <c r="D84" s="1"/>
      <c r="E84" s="1"/>
      <c r="F84" s="1"/>
      <c r="G84" s="4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1"/>
      <c r="C85" s="1"/>
      <c r="D85" s="1"/>
      <c r="E85" s="1"/>
      <c r="F85" s="1"/>
      <c r="G85" s="4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1"/>
      <c r="C86" s="1"/>
      <c r="D86" s="1"/>
      <c r="E86" s="1"/>
      <c r="F86" s="1"/>
      <c r="G86" s="4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1"/>
      <c r="C87" s="1"/>
      <c r="D87" s="1"/>
      <c r="E87" s="1"/>
      <c r="F87" s="1"/>
      <c r="G87" s="4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1"/>
      <c r="C88" s="1"/>
      <c r="D88" s="1"/>
      <c r="E88" s="1"/>
      <c r="F88" s="1"/>
      <c r="G88" s="4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1"/>
      <c r="C89" s="1"/>
      <c r="D89" s="1"/>
      <c r="E89" s="1"/>
      <c r="F89" s="1"/>
      <c r="G89" s="4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1"/>
      <c r="C90" s="1"/>
      <c r="D90" s="1"/>
      <c r="E90" s="1"/>
      <c r="F90" s="1"/>
      <c r="G90" s="4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1"/>
      <c r="C91" s="1"/>
      <c r="D91" s="1"/>
      <c r="E91" s="1"/>
      <c r="F91" s="1"/>
      <c r="G91" s="4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1"/>
      <c r="C92" s="1"/>
      <c r="D92" s="1"/>
      <c r="E92" s="1"/>
      <c r="F92" s="1"/>
      <c r="G92" s="4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1"/>
      <c r="C93" s="1"/>
      <c r="D93" s="1"/>
      <c r="E93" s="1"/>
      <c r="F93" s="1"/>
      <c r="G93" s="4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1"/>
      <c r="C94" s="1"/>
      <c r="D94" s="1"/>
      <c r="E94" s="1"/>
      <c r="F94" s="1"/>
      <c r="G94" s="4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1"/>
      <c r="C95" s="1"/>
      <c r="D95" s="1"/>
      <c r="E95" s="1"/>
      <c r="F95" s="1"/>
      <c r="G95" s="4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1"/>
      <c r="C96" s="1"/>
      <c r="D96" s="1"/>
      <c r="E96" s="1"/>
      <c r="F96" s="1"/>
      <c r="G96" s="4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1"/>
      <c r="D97" s="1"/>
      <c r="E97" s="1"/>
      <c r="F97" s="1"/>
      <c r="G97" s="4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1"/>
      <c r="D98" s="1"/>
      <c r="E98" s="1"/>
      <c r="F98" s="1"/>
      <c r="G98" s="4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1"/>
      <c r="D99" s="1"/>
      <c r="E99" s="1"/>
      <c r="F99" s="1"/>
      <c r="G99" s="4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1"/>
      <c r="D100" s="1"/>
      <c r="E100" s="1"/>
      <c r="F100" s="1"/>
      <c r="G100" s="4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1"/>
      <c r="D101" s="1"/>
      <c r="E101" s="1"/>
      <c r="F101" s="1"/>
      <c r="G101" s="4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1"/>
      <c r="D102" s="1"/>
      <c r="E102" s="1"/>
      <c r="F102" s="1"/>
      <c r="G102" s="4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1"/>
      <c r="D103" s="1"/>
      <c r="E103" s="1"/>
      <c r="F103" s="1"/>
      <c r="G103" s="4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1"/>
      <c r="D104" s="1"/>
      <c r="E104" s="1"/>
      <c r="F104" s="1"/>
      <c r="G104" s="4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1"/>
      <c r="D105" s="1"/>
      <c r="E105" s="1"/>
      <c r="F105" s="1"/>
      <c r="G105" s="4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1"/>
      <c r="F106" s="1"/>
      <c r="G106" s="4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1"/>
      <c r="F107" s="1"/>
      <c r="G107" s="4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1"/>
      <c r="F108" s="1"/>
      <c r="G108" s="4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1"/>
      <c r="F109" s="1"/>
      <c r="G109" s="4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1"/>
      <c r="F110" s="1"/>
      <c r="G110" s="4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1"/>
      <c r="F111" s="1"/>
      <c r="G111" s="4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1"/>
      <c r="F112" s="1"/>
      <c r="G112" s="4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1"/>
      <c r="F113" s="1"/>
      <c r="G113" s="4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1"/>
      <c r="F114" s="1"/>
      <c r="G114" s="4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1"/>
      <c r="F115" s="1"/>
      <c r="G115" s="4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1"/>
      <c r="F116" s="1"/>
      <c r="G116" s="4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1"/>
      <c r="F117" s="1"/>
      <c r="G117" s="4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1"/>
      <c r="F118" s="1"/>
      <c r="G118" s="4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1"/>
      <c r="F119" s="1"/>
      <c r="G119" s="4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1"/>
      <c r="F120" s="1"/>
      <c r="G120" s="4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1"/>
      <c r="F121" s="1"/>
      <c r="G121" s="4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"/>
      <c r="F122" s="1"/>
      <c r="G122" s="4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"/>
      <c r="G123" s="4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"/>
      <c r="G124" s="4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"/>
      <c r="G125" s="4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"/>
      <c r="G126" s="4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"/>
      <c r="G127" s="4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"/>
      <c r="G128" s="4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4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4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"/>
      <c r="G131" s="4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"/>
      <c r="G132" s="4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"/>
      <c r="G133" s="4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4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4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4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4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4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4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4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4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4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4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4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4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4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4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4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4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4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4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4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4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4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4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4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4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4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4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4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4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4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4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4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4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4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4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4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4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4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4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4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4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4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4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4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4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4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4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4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4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4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4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4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4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4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4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4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4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4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4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4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4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4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4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4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4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4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4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4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4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4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4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4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4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4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4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4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4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4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4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4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4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4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4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4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4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4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4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4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4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4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4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4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4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4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4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4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4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4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4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4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4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4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4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4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4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4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4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4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4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4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4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4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4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4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4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4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4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4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4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4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4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4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4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4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4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4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4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4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4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4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4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4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4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4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4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4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4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4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4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4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4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4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4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4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4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4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4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4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4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4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4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4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4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4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4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4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4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4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4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4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4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4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4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4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4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4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4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4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4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4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4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4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4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4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4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4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4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4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4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4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4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4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4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4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4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4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4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4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4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4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4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4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4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4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4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4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4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4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4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4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4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4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4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4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4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4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4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4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4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4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4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4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4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4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4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4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4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4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4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4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4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4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4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4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4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4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4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4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4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4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4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4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4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4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4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4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4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4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4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4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4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4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4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4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4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4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4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4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4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4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4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4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4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4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4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4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4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4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4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4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4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4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4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4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4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4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4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4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4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4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4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4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4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4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4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4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4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4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4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4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4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4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4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4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4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4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4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4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4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4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4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4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4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4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4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4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4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4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4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4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4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4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4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4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4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4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4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4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4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4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4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4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4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4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4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4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4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4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4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4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4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4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4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4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4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4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4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4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4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4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4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4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4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4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4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4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4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4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4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4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4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4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4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4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4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4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4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4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4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4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4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4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4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4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4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4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4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4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4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4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4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4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4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4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4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4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4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4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4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4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4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4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4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4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4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4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4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4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4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4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4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4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4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4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4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4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4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4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4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4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4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4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4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4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4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4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4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4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4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4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4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4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4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4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4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4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4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4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4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4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4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4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4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4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4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4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4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4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4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4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4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4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4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4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4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4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4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4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4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4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4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4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4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4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4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4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4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4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4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4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4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4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4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4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4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4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4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4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4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4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4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4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4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4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4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4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4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4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4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4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4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4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4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4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4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4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4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4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4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4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4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4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4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4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4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4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4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4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4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4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4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4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4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4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4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4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4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4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4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4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4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4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4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4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4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4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4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4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4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4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4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4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4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4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4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4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4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4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4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4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4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4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4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4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4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4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4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4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4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4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4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4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4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4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4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4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4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4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4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4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4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4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4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4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4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4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4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4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4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4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4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4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4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4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4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4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4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4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4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4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4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4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4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4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4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4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4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4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4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4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4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4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4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4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4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4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4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4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4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4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4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4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4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4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4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4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4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4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4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4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4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4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4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4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4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4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4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4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4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4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4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4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4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4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4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4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4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4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4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4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4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4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4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4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4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4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4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4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4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4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4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4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4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4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4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4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4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4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4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4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4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4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4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4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4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4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4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4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4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4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4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4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4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4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4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4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4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4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4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4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4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4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4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4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4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4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4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4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4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4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4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4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4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4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4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4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4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4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4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4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4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4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4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4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4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4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4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4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4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4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4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4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4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4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4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4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4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4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4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4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4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4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4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4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4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4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4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4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4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4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4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4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4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4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4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4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4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4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4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4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4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4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4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4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4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4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4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4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4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4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4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4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4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4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4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4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4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4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4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4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4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4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4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4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4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4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4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4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4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4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4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4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4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4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4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4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4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4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4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4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4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4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4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4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4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4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4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4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4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4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4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4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4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4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4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4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4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4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4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4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4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4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4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4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4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4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4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4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4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4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4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4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4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4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4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4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4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4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4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4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4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4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4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4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4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4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4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4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4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4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4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4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4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4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4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4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4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4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4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4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4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4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4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4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4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4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4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4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4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4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4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4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4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4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4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4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4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4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4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4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4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4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4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4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4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4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4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4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4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4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G963" s="139"/>
    </row>
    <row r="964">
      <c r="G964" s="139"/>
    </row>
    <row r="965">
      <c r="G965" s="139"/>
    </row>
    <row r="966">
      <c r="G966" s="139"/>
    </row>
    <row r="967">
      <c r="G967" s="139"/>
    </row>
    <row r="968">
      <c r="G968" s="139"/>
    </row>
    <row r="969">
      <c r="G969" s="139"/>
    </row>
    <row r="970">
      <c r="G970" s="139"/>
    </row>
    <row r="971">
      <c r="G971" s="139"/>
    </row>
    <row r="972">
      <c r="G972" s="139"/>
    </row>
    <row r="973">
      <c r="G973" s="139"/>
    </row>
    <row r="974">
      <c r="G974" s="139"/>
    </row>
    <row r="975">
      <c r="G975" s="139"/>
    </row>
    <row r="976">
      <c r="G976" s="139"/>
    </row>
    <row r="977">
      <c r="G977" s="139"/>
    </row>
    <row r="978">
      <c r="G978" s="139"/>
    </row>
    <row r="979">
      <c r="G979" s="139"/>
    </row>
    <row r="980">
      <c r="G980" s="139"/>
    </row>
    <row r="981">
      <c r="G981" s="139"/>
    </row>
    <row r="982">
      <c r="G982" s="139"/>
    </row>
    <row r="983">
      <c r="G983" s="139"/>
    </row>
    <row r="984">
      <c r="G984" s="139"/>
    </row>
    <row r="985">
      <c r="G985" s="139"/>
    </row>
    <row r="986">
      <c r="G986" s="139"/>
    </row>
    <row r="987">
      <c r="G987" s="139"/>
    </row>
    <row r="988">
      <c r="G988" s="139"/>
    </row>
    <row r="989">
      <c r="G989" s="139"/>
    </row>
    <row r="990">
      <c r="G990" s="139"/>
    </row>
    <row r="991">
      <c r="G991" s="139"/>
    </row>
    <row r="992">
      <c r="G992" s="139"/>
    </row>
    <row r="993">
      <c r="G993" s="139"/>
    </row>
    <row r="994">
      <c r="G994" s="139"/>
    </row>
    <row r="995">
      <c r="G995" s="139"/>
    </row>
    <row r="996">
      <c r="G996" s="139"/>
    </row>
    <row r="997">
      <c r="G997" s="139"/>
    </row>
    <row r="998">
      <c r="G998" s="139"/>
    </row>
    <row r="999">
      <c r="G999" s="139"/>
    </row>
    <row r="1000">
      <c r="G1000" s="139"/>
    </row>
    <row r="1001">
      <c r="G1001" s="139"/>
    </row>
    <row r="1002">
      <c r="G1002" s="139"/>
    </row>
    <row r="1003">
      <c r="G1003" s="139"/>
    </row>
    <row r="1004">
      <c r="G1004" s="139"/>
    </row>
    <row r="1005">
      <c r="G1005" s="139"/>
    </row>
    <row r="1006">
      <c r="G1006" s="139"/>
    </row>
    <row r="1007">
      <c r="G1007" s="139"/>
    </row>
    <row r="1008">
      <c r="G1008" s="139"/>
    </row>
    <row r="1009">
      <c r="G1009" s="139"/>
    </row>
    <row r="1010">
      <c r="G1010" s="139"/>
    </row>
    <row r="1011">
      <c r="G1011" s="139"/>
    </row>
    <row r="1012">
      <c r="G1012" s="139"/>
    </row>
    <row r="1013">
      <c r="G1013" s="139"/>
    </row>
  </sheetData>
  <mergeCells count="12">
    <mergeCell ref="D7:D8"/>
    <mergeCell ref="E7:G7"/>
    <mergeCell ref="E8:G8"/>
    <mergeCell ref="A38:C38"/>
    <mergeCell ref="A39:C39"/>
    <mergeCell ref="B1:G1"/>
    <mergeCell ref="B2:G2"/>
    <mergeCell ref="A4:G4"/>
    <mergeCell ref="A5:G5"/>
    <mergeCell ref="A7:A8"/>
    <mergeCell ref="B7:B8"/>
    <mergeCell ref="C7:C8"/>
  </mergeCells>
  <printOptions horizontalCentered="1"/>
  <pageMargins bottom="0.75" footer="0.0" header="0.0" left="0.7" right="0.7" top="0.75"/>
  <pageSetup paperSize="9" cellComments="atEnd" orientation="portrait" pageOrder="overThenDown"/>
  <rowBreaks count="1" manualBreakCount="1">
    <brk id="40" man="1"/>
  </rowBreaks>
  <colBreaks count="2" manualBreakCount="2">
    <brk man="1"/>
    <brk id="7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3" max="3" width="37.0"/>
    <col customWidth="1" min="5" max="5" width="20.5"/>
  </cols>
  <sheetData>
    <row r="2">
      <c r="A2" s="140" t="s">
        <v>119</v>
      </c>
    </row>
    <row r="3">
      <c r="A3" s="140" t="s">
        <v>120</v>
      </c>
    </row>
    <row r="5">
      <c r="A5" s="141" t="s">
        <v>121</v>
      </c>
      <c r="B5" s="141" t="s">
        <v>122</v>
      </c>
      <c r="C5" s="142" t="s">
        <v>123</v>
      </c>
      <c r="D5" s="141" t="s">
        <v>124</v>
      </c>
      <c r="E5" s="143" t="s">
        <v>125</v>
      </c>
    </row>
    <row r="6">
      <c r="A6" s="144" t="s">
        <v>126</v>
      </c>
      <c r="B6" s="145">
        <v>1.60428050504E11</v>
      </c>
      <c r="C6" s="146" t="s">
        <v>127</v>
      </c>
      <c r="D6" s="147">
        <v>52.3</v>
      </c>
      <c r="E6" s="148"/>
    </row>
    <row r="7">
      <c r="A7" s="144" t="s">
        <v>128</v>
      </c>
      <c r="B7" s="145">
        <v>1.61212050251E11</v>
      </c>
      <c r="C7" s="146" t="s">
        <v>129</v>
      </c>
      <c r="D7" s="147">
        <v>54.7</v>
      </c>
      <c r="E7" s="149" t="s">
        <v>130</v>
      </c>
    </row>
    <row r="8">
      <c r="A8" s="144" t="s">
        <v>131</v>
      </c>
      <c r="B8" s="145">
        <v>1.61229140851E11</v>
      </c>
      <c r="C8" s="146" t="s">
        <v>132</v>
      </c>
      <c r="D8" s="147">
        <v>49.8</v>
      </c>
      <c r="E8" s="148"/>
    </row>
    <row r="9">
      <c r="A9" s="147" t="s">
        <v>133</v>
      </c>
      <c r="B9" s="145">
        <v>1.612291408E11</v>
      </c>
      <c r="C9" s="150" t="s">
        <v>30</v>
      </c>
      <c r="D9" s="147">
        <v>49.8</v>
      </c>
      <c r="E9" s="148"/>
    </row>
    <row r="10">
      <c r="A10" s="147" t="s">
        <v>134</v>
      </c>
      <c r="B10" s="145">
        <v>1.60221050144E11</v>
      </c>
      <c r="C10" s="150" t="s">
        <v>135</v>
      </c>
      <c r="D10" s="147">
        <v>52.3</v>
      </c>
      <c r="E10" s="148"/>
    </row>
    <row r="11">
      <c r="A11" s="147" t="s">
        <v>136</v>
      </c>
      <c r="B11" s="145">
        <v>1.60925040198E11</v>
      </c>
      <c r="C11" s="146" t="s">
        <v>137</v>
      </c>
      <c r="D11" s="147">
        <v>50.0</v>
      </c>
      <c r="E11" s="148"/>
    </row>
    <row r="12">
      <c r="A12" s="147" t="s">
        <v>138</v>
      </c>
      <c r="B12" s="145">
        <v>1.60124050206E11</v>
      </c>
      <c r="C12" s="150" t="s">
        <v>32</v>
      </c>
      <c r="D12" s="147">
        <v>52.3</v>
      </c>
      <c r="E12" s="148"/>
    </row>
    <row r="13">
      <c r="A13" s="147" t="s">
        <v>139</v>
      </c>
      <c r="B13" s="145">
        <v>1.60111050442E11</v>
      </c>
      <c r="C13" s="146" t="s">
        <v>140</v>
      </c>
      <c r="D13" s="147">
        <v>52.3</v>
      </c>
      <c r="E13" s="148"/>
    </row>
    <row r="14">
      <c r="A14" s="147" t="s">
        <v>141</v>
      </c>
      <c r="B14" s="145">
        <v>1.60228050171E11</v>
      </c>
      <c r="C14" s="150" t="s">
        <v>37</v>
      </c>
      <c r="D14" s="147">
        <v>52.3</v>
      </c>
      <c r="E14" s="148"/>
    </row>
    <row r="15">
      <c r="A15" s="147" t="s">
        <v>142</v>
      </c>
      <c r="B15" s="145">
        <v>1.60421102316E11</v>
      </c>
      <c r="C15" s="146" t="s">
        <v>143</v>
      </c>
      <c r="D15" s="147">
        <v>52.3</v>
      </c>
      <c r="E15" s="148"/>
    </row>
    <row r="16">
      <c r="A16" s="147" t="s">
        <v>144</v>
      </c>
      <c r="B16" s="145">
        <v>1.61122050469E11</v>
      </c>
      <c r="C16" s="150" t="s">
        <v>39</v>
      </c>
      <c r="D16" s="147">
        <v>52.3</v>
      </c>
      <c r="E16" s="148"/>
    </row>
    <row r="17">
      <c r="A17" s="147" t="s">
        <v>145</v>
      </c>
      <c r="B17" s="145">
        <v>1.60316050104E11</v>
      </c>
      <c r="C17" s="146" t="s">
        <v>146</v>
      </c>
      <c r="D17" s="147">
        <v>49.8</v>
      </c>
      <c r="E17" s="148"/>
    </row>
    <row r="18">
      <c r="A18" s="147" t="s">
        <v>147</v>
      </c>
      <c r="B18" s="145">
        <v>1.60307050487E11</v>
      </c>
      <c r="C18" s="146" t="s">
        <v>148</v>
      </c>
      <c r="D18" s="147">
        <v>52.3</v>
      </c>
      <c r="E18" s="148"/>
    </row>
    <row r="19">
      <c r="A19" s="147" t="s">
        <v>149</v>
      </c>
      <c r="B19" s="145">
        <v>1.61204050163E11</v>
      </c>
      <c r="C19" s="146" t="s">
        <v>150</v>
      </c>
      <c r="D19" s="147">
        <v>52.3</v>
      </c>
      <c r="E19" s="148"/>
    </row>
    <row r="20">
      <c r="A20" s="147" t="s">
        <v>151</v>
      </c>
      <c r="B20" s="145">
        <v>1.60901050172E11</v>
      </c>
      <c r="C20" s="146" t="s">
        <v>152</v>
      </c>
      <c r="D20" s="147">
        <v>52.3</v>
      </c>
      <c r="E20" s="148"/>
    </row>
    <row r="21">
      <c r="A21" s="147" t="s">
        <v>153</v>
      </c>
      <c r="B21" s="145">
        <v>1.60127050623E11</v>
      </c>
      <c r="C21" s="146" t="s">
        <v>154</v>
      </c>
      <c r="D21" s="147">
        <v>52.3</v>
      </c>
      <c r="E21" s="148"/>
    </row>
    <row r="22">
      <c r="A22" s="147" t="s">
        <v>155</v>
      </c>
      <c r="B22" s="145">
        <v>1.60401160228E11</v>
      </c>
      <c r="C22" s="150" t="s">
        <v>49</v>
      </c>
      <c r="D22" s="147">
        <v>49.8</v>
      </c>
      <c r="E22" s="148"/>
    </row>
    <row r="23">
      <c r="A23" s="147" t="s">
        <v>156</v>
      </c>
      <c r="B23" s="145">
        <v>1.61102050541E11</v>
      </c>
      <c r="C23" s="150" t="s">
        <v>52</v>
      </c>
      <c r="D23" s="147">
        <v>52.3</v>
      </c>
      <c r="E23" s="148"/>
    </row>
    <row r="24">
      <c r="A24" s="147" t="s">
        <v>157</v>
      </c>
      <c r="B24" s="145">
        <v>1.6090301174E11</v>
      </c>
      <c r="C24" s="146" t="s">
        <v>158</v>
      </c>
      <c r="D24" s="147">
        <v>52.3</v>
      </c>
      <c r="E24" s="148"/>
    </row>
    <row r="25">
      <c r="A25" s="147" t="s">
        <v>159</v>
      </c>
      <c r="B25" s="145">
        <v>1.61028102509E11</v>
      </c>
      <c r="C25" s="146" t="s">
        <v>160</v>
      </c>
      <c r="D25" s="147">
        <v>52.3</v>
      </c>
      <c r="E25" s="148"/>
    </row>
    <row r="26">
      <c r="A26" s="147" t="s">
        <v>161</v>
      </c>
      <c r="B26" s="145">
        <v>1.60906160282E11</v>
      </c>
      <c r="C26" s="146" t="s">
        <v>162</v>
      </c>
      <c r="D26" s="147">
        <v>49.8</v>
      </c>
      <c r="E26" s="148"/>
    </row>
    <row r="27">
      <c r="A27" s="147" t="s">
        <v>163</v>
      </c>
      <c r="B27" s="145">
        <v>1.60831050395E11</v>
      </c>
      <c r="C27" s="146" t="s">
        <v>164</v>
      </c>
      <c r="D27" s="147">
        <v>52.3</v>
      </c>
      <c r="E27" s="148"/>
    </row>
    <row r="28">
      <c r="A28" s="147" t="s">
        <v>165</v>
      </c>
      <c r="B28" s="145">
        <v>1.61007050754E11</v>
      </c>
      <c r="C28" s="146" t="s">
        <v>166</v>
      </c>
      <c r="D28" s="147">
        <v>52.3</v>
      </c>
      <c r="E28" s="148"/>
    </row>
    <row r="29">
      <c r="A29" s="147" t="s">
        <v>167</v>
      </c>
      <c r="B29" s="145">
        <v>1.60717050519E11</v>
      </c>
      <c r="C29" s="146" t="s">
        <v>168</v>
      </c>
      <c r="D29" s="147">
        <v>52.3</v>
      </c>
      <c r="E29" s="148"/>
    </row>
    <row r="30">
      <c r="A30" s="151"/>
      <c r="B30" s="152"/>
      <c r="C30" s="145"/>
      <c r="D30" s="151"/>
      <c r="E30" s="148"/>
    </row>
    <row r="31">
      <c r="A31" s="151"/>
      <c r="B31" s="153"/>
      <c r="C31" s="145"/>
      <c r="D31" s="147"/>
      <c r="E31" s="148"/>
    </row>
    <row r="32">
      <c r="A32" s="151"/>
      <c r="B32" s="154" t="s">
        <v>169</v>
      </c>
      <c r="C32" s="155"/>
      <c r="D32" s="156">
        <f>SUM(D6:D29)</f>
        <v>1242.8</v>
      </c>
      <c r="E32" s="148"/>
    </row>
    <row r="33">
      <c r="A33" s="151"/>
      <c r="B33" s="157"/>
      <c r="C33" s="15"/>
      <c r="D33" s="22"/>
      <c r="E33" s="148"/>
    </row>
    <row r="34">
      <c r="A34" s="151"/>
      <c r="B34" s="158"/>
      <c r="C34" s="159"/>
      <c r="D34" s="151"/>
      <c r="E34" s="148"/>
    </row>
  </sheetData>
  <mergeCells count="4">
    <mergeCell ref="A2:E2"/>
    <mergeCell ref="A3:E3"/>
    <mergeCell ref="B32:C33"/>
    <mergeCell ref="D32:D33"/>
  </mergeCells>
  <printOptions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5" max="5" width="8.75"/>
  </cols>
  <sheetData>
    <row r="2">
      <c r="A2" s="160" t="s">
        <v>170</v>
      </c>
      <c r="E2" s="161" t="s">
        <v>171</v>
      </c>
    </row>
    <row r="3">
      <c r="E3" s="161" t="s">
        <v>172</v>
      </c>
    </row>
    <row r="4">
      <c r="A4" s="160" t="s">
        <v>173</v>
      </c>
    </row>
    <row r="6">
      <c r="A6" s="160" t="s">
        <v>174</v>
      </c>
    </row>
    <row r="8">
      <c r="A8" s="160" t="s">
        <v>175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13"/>
    <col customWidth="1" min="2" max="2" width="24.75"/>
    <col customWidth="1" min="3" max="3" width="10.25"/>
    <col customWidth="1" min="4" max="4" width="9.88"/>
    <col customWidth="1" min="5" max="5" width="10.13"/>
    <col customWidth="1" min="6" max="6" width="6.38"/>
    <col customWidth="1" min="7" max="7" width="5.25"/>
    <col customWidth="1" min="8" max="8" width="6.0"/>
    <col customWidth="1" min="9" max="9" width="5.13"/>
    <col customWidth="1" min="10" max="10" width="5.25"/>
    <col customWidth="1" min="11" max="11" width="5.13"/>
    <col customWidth="1" min="12" max="12" width="4.63"/>
    <col customWidth="1" min="13" max="13" width="5.38"/>
    <col customWidth="1" min="14" max="14" width="5.0"/>
    <col customWidth="1" min="15" max="15" width="5.5"/>
    <col customWidth="1" min="16" max="16" width="4.75"/>
    <col customWidth="1" min="17" max="17" width="4.88"/>
    <col customWidth="1" min="18" max="18" width="4.75"/>
    <col customWidth="1" min="19" max="19" width="5.0"/>
    <col customWidth="1" min="20" max="20" width="3.88"/>
    <col customWidth="1" min="21" max="22" width="5.5"/>
    <col customWidth="1" min="23" max="23" width="4.88"/>
    <col customWidth="1" min="24" max="24" width="5.38"/>
    <col customWidth="1" min="25" max="25" width="5.25"/>
    <col customWidth="1" min="26" max="26" width="5.13"/>
    <col customWidth="1" min="27" max="27" width="4.88"/>
    <col customWidth="1" min="28" max="28" width="5.13"/>
    <col customWidth="1" min="29" max="30" width="5.38"/>
    <col customWidth="1" min="31" max="31" width="4.88"/>
    <col customWidth="1" min="32" max="32" width="5.25"/>
    <col customWidth="1" min="33" max="33" width="5.13"/>
    <col customWidth="1" min="34" max="34" width="5.38"/>
    <col customWidth="1" min="35" max="35" width="5.25"/>
    <col customWidth="1" min="36" max="36" width="4.88"/>
    <col customWidth="1" min="37" max="37" width="5.5"/>
    <col customWidth="1" min="38" max="39" width="5.75"/>
  </cols>
  <sheetData>
    <row r="1">
      <c r="A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>
      <c r="A2" s="2" t="s">
        <v>0</v>
      </c>
    </row>
    <row r="4">
      <c r="A4" s="5" t="s">
        <v>176</v>
      </c>
    </row>
    <row r="5">
      <c r="A5" s="2" t="s">
        <v>177</v>
      </c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</row>
    <row r="7">
      <c r="A7" s="162" t="s">
        <v>6</v>
      </c>
      <c r="B7" s="163" t="s">
        <v>7</v>
      </c>
      <c r="C7" s="164"/>
      <c r="D7" s="164"/>
      <c r="E7" s="164"/>
      <c r="F7" s="164"/>
      <c r="G7" s="165">
        <v>2023.0</v>
      </c>
      <c r="H7" s="14"/>
      <c r="I7" s="15"/>
      <c r="J7" s="165">
        <v>2023.0</v>
      </c>
      <c r="K7" s="14"/>
      <c r="L7" s="15"/>
      <c r="M7" s="165">
        <v>2023.0</v>
      </c>
      <c r="N7" s="14"/>
      <c r="O7" s="15"/>
      <c r="P7" s="165">
        <v>2023.0</v>
      </c>
      <c r="Q7" s="14"/>
      <c r="R7" s="15"/>
      <c r="S7" s="165">
        <v>2023.0</v>
      </c>
      <c r="T7" s="14"/>
      <c r="U7" s="15"/>
      <c r="V7" s="165">
        <v>2023.0</v>
      </c>
      <c r="W7" s="14"/>
      <c r="X7" s="15"/>
      <c r="Y7" s="165">
        <v>2023.0</v>
      </c>
      <c r="Z7" s="14"/>
      <c r="AA7" s="15"/>
      <c r="AB7" s="165">
        <v>2023.0</v>
      </c>
      <c r="AC7" s="14"/>
      <c r="AD7" s="15"/>
      <c r="AE7" s="165">
        <v>2023.0</v>
      </c>
      <c r="AF7" s="14"/>
      <c r="AG7" s="15"/>
      <c r="AH7" s="165">
        <v>2023.0</v>
      </c>
      <c r="AI7" s="14"/>
      <c r="AJ7" s="15"/>
      <c r="AK7" s="165">
        <v>2024.0</v>
      </c>
      <c r="AL7" s="14"/>
      <c r="AM7" s="15"/>
    </row>
    <row r="8">
      <c r="A8" s="22"/>
      <c r="B8" s="15"/>
      <c r="C8" s="166" t="s">
        <v>178</v>
      </c>
      <c r="D8" s="166" t="s">
        <v>179</v>
      </c>
      <c r="E8" s="166" t="s">
        <v>180</v>
      </c>
      <c r="F8" s="166" t="s">
        <v>181</v>
      </c>
      <c r="G8" s="166" t="s">
        <v>182</v>
      </c>
      <c r="H8" s="166" t="s">
        <v>183</v>
      </c>
      <c r="I8" s="166" t="s">
        <v>184</v>
      </c>
      <c r="J8" s="166" t="s">
        <v>185</v>
      </c>
      <c r="K8" s="166" t="s">
        <v>186</v>
      </c>
      <c r="L8" s="166" t="s">
        <v>187</v>
      </c>
      <c r="M8" s="166" t="s">
        <v>188</v>
      </c>
      <c r="N8" s="166" t="s">
        <v>189</v>
      </c>
      <c r="O8" s="166" t="s">
        <v>190</v>
      </c>
      <c r="P8" s="166" t="s">
        <v>191</v>
      </c>
      <c r="Q8" s="166" t="s">
        <v>192</v>
      </c>
      <c r="R8" s="166" t="s">
        <v>193</v>
      </c>
      <c r="S8" s="166" t="s">
        <v>194</v>
      </c>
      <c r="T8" s="166" t="s">
        <v>195</v>
      </c>
      <c r="U8" s="166" t="s">
        <v>196</v>
      </c>
      <c r="V8" s="166" t="s">
        <v>197</v>
      </c>
      <c r="W8" s="166" t="s">
        <v>198</v>
      </c>
      <c r="X8" s="166" t="s">
        <v>199</v>
      </c>
      <c r="Y8" s="166" t="s">
        <v>200</v>
      </c>
      <c r="Z8" s="166" t="s">
        <v>201</v>
      </c>
      <c r="AA8" s="166" t="s">
        <v>202</v>
      </c>
      <c r="AB8" s="166" t="s">
        <v>203</v>
      </c>
      <c r="AC8" s="166" t="s">
        <v>204</v>
      </c>
      <c r="AD8" s="166" t="s">
        <v>205</v>
      </c>
      <c r="AE8" s="166" t="s">
        <v>206</v>
      </c>
      <c r="AF8" s="166" t="s">
        <v>207</v>
      </c>
      <c r="AG8" s="166" t="s">
        <v>208</v>
      </c>
      <c r="AH8" s="166" t="s">
        <v>209</v>
      </c>
      <c r="AI8" s="166" t="s">
        <v>210</v>
      </c>
      <c r="AJ8" s="166" t="s">
        <v>211</v>
      </c>
      <c r="AK8" s="166" t="s">
        <v>212</v>
      </c>
      <c r="AL8" s="166" t="s">
        <v>213</v>
      </c>
      <c r="AM8" s="166" t="s">
        <v>214</v>
      </c>
    </row>
    <row r="9">
      <c r="A9" s="167">
        <v>1.0</v>
      </c>
      <c r="B9" s="168" t="s">
        <v>215</v>
      </c>
      <c r="C9" s="169">
        <f t="shared" ref="C9:E9" si="1">G9+J9+M9+P9+S9+V9+Y9+AB9+AE9+AH9+AK9</f>
        <v>3</v>
      </c>
      <c r="D9" s="170">
        <f t="shared" si="1"/>
        <v>14</v>
      </c>
      <c r="E9" s="170">
        <f t="shared" si="1"/>
        <v>21</v>
      </c>
      <c r="F9" s="170">
        <f t="shared" ref="F9:F34" si="3">SUM(C9:E9)</f>
        <v>38</v>
      </c>
      <c r="G9" s="171" t="s">
        <v>216</v>
      </c>
      <c r="H9" s="172"/>
      <c r="I9" s="172"/>
      <c r="J9" s="171" t="s">
        <v>216</v>
      </c>
      <c r="K9" s="171" t="s">
        <v>217</v>
      </c>
      <c r="L9" s="173"/>
      <c r="M9" s="171" t="s">
        <v>217</v>
      </c>
      <c r="N9" s="171" t="s">
        <v>217</v>
      </c>
      <c r="O9" s="171" t="s">
        <v>217</v>
      </c>
      <c r="P9" s="171" t="s">
        <v>218</v>
      </c>
      <c r="Q9" s="171" t="s">
        <v>219</v>
      </c>
      <c r="R9" s="171" t="s">
        <v>220</v>
      </c>
      <c r="S9" s="172"/>
      <c r="T9" s="171" t="s">
        <v>219</v>
      </c>
      <c r="U9" s="171" t="s">
        <v>221</v>
      </c>
      <c r="V9" s="173"/>
      <c r="W9" s="173"/>
      <c r="X9" s="173"/>
      <c r="Y9" s="173"/>
      <c r="Z9" s="173"/>
      <c r="AA9" s="171" t="s">
        <v>217</v>
      </c>
      <c r="AB9" s="173"/>
      <c r="AC9" s="173"/>
      <c r="AD9" s="173"/>
      <c r="AE9" s="173"/>
      <c r="AF9" s="173"/>
      <c r="AG9" s="173"/>
      <c r="AH9" s="173"/>
      <c r="AI9" s="173"/>
      <c r="AJ9" s="173"/>
      <c r="AK9" s="173"/>
      <c r="AL9" s="173"/>
      <c r="AM9" s="173"/>
    </row>
    <row r="10">
      <c r="A10" s="174">
        <v>2.0</v>
      </c>
      <c r="B10" s="168" t="s">
        <v>222</v>
      </c>
      <c r="C10" s="169">
        <f t="shared" ref="C10:E10" si="2">G10+J10+M10+P10+S10+V10+Y10+AB10+AE10+AH10+AK10</f>
        <v>4</v>
      </c>
      <c r="D10" s="170">
        <f t="shared" si="2"/>
        <v>8</v>
      </c>
      <c r="E10" s="170">
        <f t="shared" si="2"/>
        <v>3</v>
      </c>
      <c r="F10" s="170">
        <f t="shared" si="3"/>
        <v>15</v>
      </c>
      <c r="G10" s="171" t="s">
        <v>216</v>
      </c>
      <c r="H10" s="173"/>
      <c r="I10" s="173"/>
      <c r="J10" s="171" t="s">
        <v>218</v>
      </c>
      <c r="K10" s="171" t="s">
        <v>217</v>
      </c>
      <c r="L10" s="173"/>
      <c r="M10" s="171" t="s">
        <v>217</v>
      </c>
      <c r="N10" s="171" t="s">
        <v>217</v>
      </c>
      <c r="O10" s="171" t="s">
        <v>218</v>
      </c>
      <c r="P10" s="171" t="s">
        <v>218</v>
      </c>
      <c r="Q10" s="171" t="s">
        <v>217</v>
      </c>
      <c r="R10" s="173"/>
      <c r="S10" s="172"/>
      <c r="T10" s="171" t="s">
        <v>217</v>
      </c>
      <c r="U10" s="171" t="s">
        <v>217</v>
      </c>
      <c r="V10" s="173"/>
      <c r="W10" s="173"/>
      <c r="X10" s="173"/>
      <c r="Y10" s="173"/>
      <c r="Z10" s="173"/>
      <c r="AA10" s="173"/>
      <c r="AB10" s="173"/>
      <c r="AC10" s="173"/>
      <c r="AD10" s="173"/>
      <c r="AE10" s="173"/>
      <c r="AF10" s="173"/>
      <c r="AG10" s="173"/>
      <c r="AH10" s="173"/>
      <c r="AI10" s="173"/>
      <c r="AJ10" s="173"/>
      <c r="AK10" s="173"/>
      <c r="AL10" s="173"/>
      <c r="AM10" s="173"/>
    </row>
    <row r="11">
      <c r="A11" s="167">
        <v>3.0</v>
      </c>
      <c r="B11" s="168" t="s">
        <v>223</v>
      </c>
      <c r="C11" s="169">
        <f t="shared" ref="C11:E11" si="4">G11+J11+M11+P11+S11+V11+Y11+AB11+AE11+AH11+AK11</f>
        <v>18</v>
      </c>
      <c r="D11" s="170">
        <f t="shared" si="4"/>
        <v>34</v>
      </c>
      <c r="E11" s="170">
        <f t="shared" si="4"/>
        <v>82</v>
      </c>
      <c r="F11" s="170">
        <f t="shared" si="3"/>
        <v>134</v>
      </c>
      <c r="G11" s="171" t="s">
        <v>216</v>
      </c>
      <c r="H11" s="173"/>
      <c r="I11" s="173"/>
      <c r="J11" s="171" t="s">
        <v>216</v>
      </c>
      <c r="K11" s="171" t="s">
        <v>224</v>
      </c>
      <c r="L11" s="173"/>
      <c r="M11" s="171" t="s">
        <v>224</v>
      </c>
      <c r="N11" s="171" t="s">
        <v>219</v>
      </c>
      <c r="O11" s="171" t="s">
        <v>219</v>
      </c>
      <c r="P11" s="171" t="s">
        <v>225</v>
      </c>
      <c r="Q11" s="171" t="s">
        <v>220</v>
      </c>
      <c r="R11" s="171" t="s">
        <v>226</v>
      </c>
      <c r="S11" s="172"/>
      <c r="T11" s="171" t="s">
        <v>227</v>
      </c>
      <c r="U11" s="171" t="s">
        <v>225</v>
      </c>
      <c r="V11" s="173"/>
      <c r="W11" s="173"/>
      <c r="X11" s="171" t="s">
        <v>228</v>
      </c>
      <c r="Y11" s="173"/>
      <c r="Z11" s="173"/>
      <c r="AA11" s="171" t="s">
        <v>229</v>
      </c>
      <c r="AB11" s="171" t="s">
        <v>217</v>
      </c>
      <c r="AC11" s="171" t="s">
        <v>217</v>
      </c>
      <c r="AD11" s="171" t="s">
        <v>217</v>
      </c>
      <c r="AE11" s="171" t="s">
        <v>216</v>
      </c>
      <c r="AF11" s="171" t="s">
        <v>216</v>
      </c>
      <c r="AG11" s="171" t="s">
        <v>216</v>
      </c>
      <c r="AH11" s="171" t="s">
        <v>224</v>
      </c>
      <c r="AI11" s="171" t="s">
        <v>218</v>
      </c>
      <c r="AJ11" s="171" t="s">
        <v>230</v>
      </c>
      <c r="AK11" s="173"/>
      <c r="AL11" s="173"/>
      <c r="AM11" s="173"/>
    </row>
    <row r="12">
      <c r="A12" s="174">
        <v>4.0</v>
      </c>
      <c r="B12" s="168" t="s">
        <v>231</v>
      </c>
      <c r="C12" s="169">
        <f t="shared" ref="C12:E12" si="5">G12+J12+M12+P12+S12+V12+Y12+AB12+AE12+AH12+AK12</f>
        <v>5</v>
      </c>
      <c r="D12" s="170">
        <f t="shared" si="5"/>
        <v>9</v>
      </c>
      <c r="E12" s="170">
        <f t="shared" si="5"/>
        <v>9</v>
      </c>
      <c r="F12" s="170">
        <f t="shared" si="3"/>
        <v>23</v>
      </c>
      <c r="G12" s="171" t="s">
        <v>216</v>
      </c>
      <c r="H12" s="173"/>
      <c r="I12" s="173"/>
      <c r="J12" s="171" t="s">
        <v>218</v>
      </c>
      <c r="K12" s="171" t="s">
        <v>218</v>
      </c>
      <c r="L12" s="173"/>
      <c r="M12" s="171" t="s">
        <v>217</v>
      </c>
      <c r="N12" s="171" t="s">
        <v>224</v>
      </c>
      <c r="O12" s="171" t="s">
        <v>218</v>
      </c>
      <c r="P12" s="171" t="s">
        <v>217</v>
      </c>
      <c r="Q12" s="171" t="s">
        <v>230</v>
      </c>
      <c r="R12" s="171" t="s">
        <v>232</v>
      </c>
      <c r="S12" s="172"/>
      <c r="T12" s="171" t="s">
        <v>218</v>
      </c>
      <c r="U12" s="173"/>
      <c r="V12" s="173"/>
      <c r="W12" s="173"/>
      <c r="X12" s="173"/>
      <c r="Y12" s="173"/>
      <c r="Z12" s="173"/>
      <c r="AA12" s="173"/>
      <c r="AB12" s="173"/>
      <c r="AC12" s="173"/>
      <c r="AD12" s="173"/>
      <c r="AE12" s="173"/>
      <c r="AF12" s="173"/>
      <c r="AG12" s="173"/>
      <c r="AH12" s="173"/>
      <c r="AI12" s="173"/>
      <c r="AJ12" s="173"/>
      <c r="AK12" s="173"/>
      <c r="AL12" s="173"/>
      <c r="AM12" s="173"/>
    </row>
    <row r="13">
      <c r="A13" s="167">
        <v>5.0</v>
      </c>
      <c r="B13" s="168" t="s">
        <v>233</v>
      </c>
      <c r="C13" s="169">
        <f t="shared" ref="C13:E13" si="6">G13+J13+M13+P13+S13+V13+Y13+AB13+AE13+AH13+AK13</f>
        <v>5</v>
      </c>
      <c r="D13" s="170">
        <f t="shared" si="6"/>
        <v>17</v>
      </c>
      <c r="E13" s="170">
        <f t="shared" si="6"/>
        <v>27</v>
      </c>
      <c r="F13" s="170">
        <f t="shared" si="3"/>
        <v>49</v>
      </c>
      <c r="G13" s="171" t="s">
        <v>216</v>
      </c>
      <c r="H13" s="173"/>
      <c r="I13" s="173"/>
      <c r="J13" s="171" t="s">
        <v>216</v>
      </c>
      <c r="K13" s="171" t="s">
        <v>217</v>
      </c>
      <c r="L13" s="173"/>
      <c r="M13" s="171" t="s">
        <v>224</v>
      </c>
      <c r="N13" s="171" t="s">
        <v>219</v>
      </c>
      <c r="O13" s="171" t="s">
        <v>224</v>
      </c>
      <c r="P13" s="171" t="s">
        <v>217</v>
      </c>
      <c r="Q13" s="171" t="s">
        <v>232</v>
      </c>
      <c r="R13" s="171" t="s">
        <v>234</v>
      </c>
      <c r="S13" s="172"/>
      <c r="T13" s="171" t="s">
        <v>217</v>
      </c>
      <c r="U13" s="171" t="s">
        <v>232</v>
      </c>
      <c r="V13" s="173"/>
      <c r="W13" s="173"/>
      <c r="X13" s="173"/>
      <c r="Y13" s="173"/>
      <c r="Z13" s="173"/>
      <c r="AA13" s="173"/>
      <c r="AB13" s="173"/>
      <c r="AC13" s="173"/>
      <c r="AD13" s="173"/>
      <c r="AE13" s="173"/>
      <c r="AF13" s="173"/>
      <c r="AG13" s="173"/>
      <c r="AH13" s="173"/>
      <c r="AI13" s="173"/>
      <c r="AJ13" s="173"/>
      <c r="AK13" s="173"/>
      <c r="AL13" s="173"/>
      <c r="AM13" s="173"/>
    </row>
    <row r="14">
      <c r="A14" s="174">
        <v>6.0</v>
      </c>
      <c r="B14" s="168" t="s">
        <v>235</v>
      </c>
      <c r="C14" s="169">
        <f t="shared" ref="C14:E14" si="7">G14+J14+M14+P14+S14+V14+Y14+AB14+AE14+AH14+AK14</f>
        <v>5</v>
      </c>
      <c r="D14" s="170">
        <f t="shared" si="7"/>
        <v>9</v>
      </c>
      <c r="E14" s="170">
        <f t="shared" si="7"/>
        <v>14</v>
      </c>
      <c r="F14" s="170">
        <f t="shared" si="3"/>
        <v>28</v>
      </c>
      <c r="G14" s="171" t="s">
        <v>216</v>
      </c>
      <c r="H14" s="173"/>
      <c r="I14" s="173"/>
      <c r="J14" s="171" t="s">
        <v>216</v>
      </c>
      <c r="K14" s="171" t="s">
        <v>218</v>
      </c>
      <c r="L14" s="173"/>
      <c r="M14" s="171" t="s">
        <v>217</v>
      </c>
      <c r="N14" s="171" t="s">
        <v>217</v>
      </c>
      <c r="O14" s="171" t="s">
        <v>217</v>
      </c>
      <c r="P14" s="171" t="s">
        <v>224</v>
      </c>
      <c r="Q14" s="171" t="s">
        <v>230</v>
      </c>
      <c r="R14" s="171" t="s">
        <v>230</v>
      </c>
      <c r="S14" s="172"/>
      <c r="T14" s="171" t="s">
        <v>217</v>
      </c>
      <c r="U14" s="173"/>
      <c r="V14" s="173"/>
      <c r="W14" s="173"/>
      <c r="X14" s="171" t="s">
        <v>232</v>
      </c>
      <c r="Y14" s="173"/>
      <c r="Z14" s="173"/>
      <c r="AA14" s="171" t="s">
        <v>216</v>
      </c>
      <c r="AB14" s="173"/>
      <c r="AC14" s="173"/>
      <c r="AD14" s="173"/>
      <c r="AE14" s="173"/>
      <c r="AF14" s="173"/>
      <c r="AG14" s="173"/>
      <c r="AH14" s="173"/>
      <c r="AI14" s="173"/>
      <c r="AJ14" s="173"/>
      <c r="AK14" s="173"/>
      <c r="AL14" s="173"/>
      <c r="AM14" s="173"/>
    </row>
    <row r="15">
      <c r="A15" s="167">
        <v>7.0</v>
      </c>
      <c r="B15" s="168" t="s">
        <v>236</v>
      </c>
      <c r="C15" s="169">
        <f t="shared" ref="C15:E15" si="8">G15+J15+M15+P15+S15+V15+Y15+AB15+AE15+AH15+AK15</f>
        <v>5</v>
      </c>
      <c r="D15" s="170">
        <f t="shared" si="8"/>
        <v>9</v>
      </c>
      <c r="E15" s="170">
        <f t="shared" si="8"/>
        <v>7</v>
      </c>
      <c r="F15" s="170">
        <f t="shared" si="3"/>
        <v>21</v>
      </c>
      <c r="G15" s="171" t="s">
        <v>216</v>
      </c>
      <c r="H15" s="173"/>
      <c r="I15" s="173"/>
      <c r="J15" s="171" t="s">
        <v>216</v>
      </c>
      <c r="K15" s="171" t="s">
        <v>218</v>
      </c>
      <c r="L15" s="173"/>
      <c r="M15" s="171" t="s">
        <v>217</v>
      </c>
      <c r="N15" s="171" t="s">
        <v>217</v>
      </c>
      <c r="O15" s="171" t="s">
        <v>217</v>
      </c>
      <c r="P15" s="171" t="s">
        <v>224</v>
      </c>
      <c r="Q15" s="171" t="s">
        <v>224</v>
      </c>
      <c r="R15" s="171" t="s">
        <v>230</v>
      </c>
      <c r="S15" s="172"/>
      <c r="T15" s="171" t="s">
        <v>224</v>
      </c>
      <c r="U15" s="171" t="s">
        <v>218</v>
      </c>
      <c r="V15" s="173"/>
      <c r="W15" s="173"/>
      <c r="X15" s="173"/>
      <c r="Y15" s="173"/>
      <c r="Z15" s="173"/>
      <c r="AA15" s="173"/>
      <c r="AB15" s="173"/>
      <c r="AC15" s="173"/>
      <c r="AD15" s="173"/>
      <c r="AE15" s="173"/>
      <c r="AF15" s="173"/>
      <c r="AG15" s="173"/>
      <c r="AH15" s="173"/>
      <c r="AI15" s="173"/>
      <c r="AJ15" s="173"/>
      <c r="AK15" s="173"/>
      <c r="AL15" s="173"/>
      <c r="AM15" s="173"/>
    </row>
    <row r="16">
      <c r="A16" s="174">
        <v>8.0</v>
      </c>
      <c r="B16" s="168" t="s">
        <v>237</v>
      </c>
      <c r="C16" s="169">
        <f t="shared" ref="C16:E16" si="9">G16+J16+M16+P16+S16+V16+Y16+AB16+AE16+AH16+AK16</f>
        <v>4</v>
      </c>
      <c r="D16" s="170">
        <f t="shared" si="9"/>
        <v>10</v>
      </c>
      <c r="E16" s="170">
        <f t="shared" si="9"/>
        <v>15</v>
      </c>
      <c r="F16" s="170">
        <f t="shared" si="3"/>
        <v>29</v>
      </c>
      <c r="G16" s="171" t="s">
        <v>216</v>
      </c>
      <c r="H16" s="173"/>
      <c r="I16" s="173"/>
      <c r="J16" s="171" t="s">
        <v>216</v>
      </c>
      <c r="K16" s="171" t="s">
        <v>218</v>
      </c>
      <c r="L16" s="173"/>
      <c r="M16" s="171" t="s">
        <v>217</v>
      </c>
      <c r="N16" s="171" t="s">
        <v>217</v>
      </c>
      <c r="O16" s="171" t="s">
        <v>230</v>
      </c>
      <c r="P16" s="171" t="s">
        <v>217</v>
      </c>
      <c r="Q16" s="171" t="s">
        <v>224</v>
      </c>
      <c r="R16" s="171" t="s">
        <v>221</v>
      </c>
      <c r="S16" s="172"/>
      <c r="T16" s="171" t="s">
        <v>230</v>
      </c>
      <c r="U16" s="171" t="s">
        <v>219</v>
      </c>
      <c r="V16" s="173"/>
      <c r="W16" s="173"/>
      <c r="X16" s="173"/>
      <c r="Y16" s="173"/>
      <c r="Z16" s="173"/>
      <c r="AA16" s="173"/>
      <c r="AB16" s="173"/>
      <c r="AC16" s="173"/>
      <c r="AD16" s="173"/>
      <c r="AE16" s="173"/>
      <c r="AF16" s="173"/>
      <c r="AG16" s="173"/>
      <c r="AH16" s="173"/>
      <c r="AI16" s="173"/>
      <c r="AJ16" s="173"/>
      <c r="AK16" s="173"/>
      <c r="AL16" s="173"/>
      <c r="AM16" s="173"/>
    </row>
    <row r="17">
      <c r="A17" s="167">
        <v>9.0</v>
      </c>
      <c r="B17" s="168" t="s">
        <v>238</v>
      </c>
      <c r="C17" s="169">
        <f t="shared" ref="C17:E17" si="10">G17+J17+M17+P17+S17+V17+Y17+AB17+AE17+AH17+AK17</f>
        <v>8</v>
      </c>
      <c r="D17" s="170">
        <f t="shared" si="10"/>
        <v>20</v>
      </c>
      <c r="E17" s="170">
        <f t="shared" si="10"/>
        <v>27</v>
      </c>
      <c r="F17" s="170">
        <f t="shared" si="3"/>
        <v>55</v>
      </c>
      <c r="G17" s="171" t="s">
        <v>216</v>
      </c>
      <c r="H17" s="173"/>
      <c r="I17" s="173"/>
      <c r="J17" s="171" t="s">
        <v>216</v>
      </c>
      <c r="K17" s="171" t="s">
        <v>224</v>
      </c>
      <c r="L17" s="173"/>
      <c r="M17" s="171" t="s">
        <v>224</v>
      </c>
      <c r="N17" s="171" t="s">
        <v>224</v>
      </c>
      <c r="O17" s="171" t="s">
        <v>224</v>
      </c>
      <c r="P17" s="171" t="s">
        <v>219</v>
      </c>
      <c r="Q17" s="171" t="s">
        <v>221</v>
      </c>
      <c r="R17" s="171" t="s">
        <v>232</v>
      </c>
      <c r="S17" s="172"/>
      <c r="T17" s="171" t="s">
        <v>232</v>
      </c>
      <c r="U17" s="171" t="s">
        <v>220</v>
      </c>
      <c r="V17" s="173"/>
      <c r="W17" s="173"/>
      <c r="X17" s="171" t="s">
        <v>224</v>
      </c>
      <c r="Y17" s="173"/>
      <c r="Z17" s="173"/>
      <c r="AA17" s="171" t="s">
        <v>217</v>
      </c>
      <c r="AB17" s="173"/>
      <c r="AC17" s="173"/>
      <c r="AD17" s="173"/>
      <c r="AE17" s="173"/>
      <c r="AF17" s="173"/>
      <c r="AG17" s="173"/>
      <c r="AH17" s="173"/>
      <c r="AI17" s="173"/>
      <c r="AJ17" s="173"/>
      <c r="AK17" s="173"/>
      <c r="AL17" s="173"/>
      <c r="AM17" s="173"/>
    </row>
    <row r="18">
      <c r="A18" s="174">
        <v>10.0</v>
      </c>
      <c r="B18" s="168" t="s">
        <v>239</v>
      </c>
      <c r="C18" s="169">
        <f t="shared" ref="C18:E18" si="11">G18+J18+M18+P18+S18+V18+Y18+AB18+AE18+AH18+AK18</f>
        <v>8</v>
      </c>
      <c r="D18" s="170">
        <f t="shared" si="11"/>
        <v>19</v>
      </c>
      <c r="E18" s="170">
        <f t="shared" si="11"/>
        <v>29</v>
      </c>
      <c r="F18" s="170">
        <f t="shared" si="3"/>
        <v>56</v>
      </c>
      <c r="G18" s="171" t="s">
        <v>216</v>
      </c>
      <c r="H18" s="173"/>
      <c r="I18" s="173"/>
      <c r="J18" s="171" t="s">
        <v>216</v>
      </c>
      <c r="K18" s="171" t="s">
        <v>224</v>
      </c>
      <c r="L18" s="173"/>
      <c r="M18" s="171" t="s">
        <v>224</v>
      </c>
      <c r="N18" s="171" t="s">
        <v>217</v>
      </c>
      <c r="O18" s="171" t="s">
        <v>230</v>
      </c>
      <c r="P18" s="171" t="s">
        <v>219</v>
      </c>
      <c r="Q18" s="171" t="s">
        <v>219</v>
      </c>
      <c r="R18" s="171" t="s">
        <v>232</v>
      </c>
      <c r="S18" s="172"/>
      <c r="T18" s="171" t="s">
        <v>240</v>
      </c>
      <c r="U18" s="171" t="s">
        <v>241</v>
      </c>
      <c r="V18" s="173"/>
      <c r="W18" s="173"/>
      <c r="X18" s="173"/>
      <c r="Y18" s="173"/>
      <c r="Z18" s="173"/>
      <c r="AA18" s="173"/>
      <c r="AB18" s="173"/>
      <c r="AC18" s="173"/>
      <c r="AD18" s="173"/>
      <c r="AE18" s="173"/>
      <c r="AF18" s="173"/>
      <c r="AG18" s="173"/>
      <c r="AH18" s="173"/>
      <c r="AI18" s="173"/>
      <c r="AJ18" s="173"/>
      <c r="AK18" s="173"/>
      <c r="AL18" s="173"/>
      <c r="AM18" s="173"/>
    </row>
    <row r="19">
      <c r="A19" s="167">
        <v>11.0</v>
      </c>
      <c r="B19" s="168" t="s">
        <v>242</v>
      </c>
      <c r="C19" s="169">
        <f t="shared" ref="C19:E19" si="12">G19+J19+M19+P19+S19+V19+Y19+AB19+AE19+AH19+AK19</f>
        <v>3</v>
      </c>
      <c r="D19" s="170">
        <f t="shared" si="12"/>
        <v>14</v>
      </c>
      <c r="E19" s="170">
        <f t="shared" si="12"/>
        <v>21</v>
      </c>
      <c r="F19" s="170">
        <f t="shared" si="3"/>
        <v>38</v>
      </c>
      <c r="G19" s="171" t="s">
        <v>216</v>
      </c>
      <c r="H19" s="173"/>
      <c r="I19" s="173"/>
      <c r="J19" s="171" t="s">
        <v>216</v>
      </c>
      <c r="K19" s="171" t="s">
        <v>224</v>
      </c>
      <c r="L19" s="173"/>
      <c r="M19" s="173"/>
      <c r="N19" s="171" t="s">
        <v>217</v>
      </c>
      <c r="O19" s="173"/>
      <c r="P19" s="171" t="s">
        <v>224</v>
      </c>
      <c r="Q19" s="171" t="s">
        <v>219</v>
      </c>
      <c r="R19" s="171" t="s">
        <v>219</v>
      </c>
      <c r="S19" s="172"/>
      <c r="T19" s="171" t="s">
        <v>230</v>
      </c>
      <c r="U19" s="171" t="s">
        <v>234</v>
      </c>
      <c r="V19" s="173"/>
      <c r="W19" s="173"/>
      <c r="X19" s="173"/>
      <c r="Y19" s="173"/>
      <c r="Z19" s="173"/>
      <c r="AA19" s="173"/>
      <c r="AB19" s="173"/>
      <c r="AC19" s="173"/>
      <c r="AD19" s="173"/>
      <c r="AE19" s="173"/>
      <c r="AF19" s="173"/>
      <c r="AG19" s="173"/>
      <c r="AH19" s="173"/>
      <c r="AI19" s="173"/>
      <c r="AJ19" s="173"/>
      <c r="AK19" s="173"/>
      <c r="AL19" s="173"/>
      <c r="AM19" s="173"/>
    </row>
    <row r="20">
      <c r="A20" s="174">
        <v>12.0</v>
      </c>
      <c r="B20" s="168" t="s">
        <v>243</v>
      </c>
      <c r="C20" s="169">
        <f t="shared" ref="C20:E20" si="13">G20+J20+M20+P20+S20+V20+Y20+AB20+AE20+AH20+AK20</f>
        <v>10</v>
      </c>
      <c r="D20" s="170">
        <f t="shared" si="13"/>
        <v>47</v>
      </c>
      <c r="E20" s="170">
        <f t="shared" si="13"/>
        <v>39</v>
      </c>
      <c r="F20" s="170">
        <f t="shared" si="3"/>
        <v>96</v>
      </c>
      <c r="G20" s="171" t="s">
        <v>216</v>
      </c>
      <c r="H20" s="173"/>
      <c r="I20" s="173"/>
      <c r="J20" s="171" t="s">
        <v>216</v>
      </c>
      <c r="K20" s="171" t="s">
        <v>224</v>
      </c>
      <c r="L20" s="173"/>
      <c r="M20" s="171" t="s">
        <v>224</v>
      </c>
      <c r="N20" s="171" t="s">
        <v>219</v>
      </c>
      <c r="O20" s="171" t="s">
        <v>219</v>
      </c>
      <c r="P20" s="171" t="s">
        <v>229</v>
      </c>
      <c r="Q20" s="171" t="s">
        <v>228</v>
      </c>
      <c r="R20" s="171" t="s">
        <v>244</v>
      </c>
      <c r="S20" s="172"/>
      <c r="T20" s="171" t="s">
        <v>245</v>
      </c>
      <c r="U20" s="171" t="s">
        <v>234</v>
      </c>
      <c r="V20" s="173"/>
      <c r="W20" s="173"/>
      <c r="X20" s="171" t="s">
        <v>216</v>
      </c>
      <c r="Y20" s="173"/>
      <c r="Z20" s="173"/>
      <c r="AA20" s="171" t="s">
        <v>230</v>
      </c>
      <c r="AB20" s="173"/>
      <c r="AC20" s="173"/>
      <c r="AD20" s="173"/>
      <c r="AE20" s="173"/>
      <c r="AF20" s="173"/>
      <c r="AG20" s="173"/>
      <c r="AH20" s="173"/>
      <c r="AI20" s="173"/>
      <c r="AJ20" s="173"/>
      <c r="AK20" s="173"/>
      <c r="AL20" s="173"/>
      <c r="AM20" s="173"/>
    </row>
    <row r="21">
      <c r="A21" s="167">
        <v>13.0</v>
      </c>
      <c r="B21" s="175" t="s">
        <v>246</v>
      </c>
      <c r="C21" s="169">
        <f t="shared" ref="C21:E21" si="14">G21+J21+M21+P21+S21+V21+Y21+AB21+AE21+AH21+AK21</f>
        <v>10</v>
      </c>
      <c r="D21" s="170">
        <f t="shared" si="14"/>
        <v>20</v>
      </c>
      <c r="E21" s="170">
        <f t="shared" si="14"/>
        <v>14</v>
      </c>
      <c r="F21" s="170">
        <f t="shared" si="3"/>
        <v>44</v>
      </c>
      <c r="G21" s="171" t="s">
        <v>216</v>
      </c>
      <c r="H21" s="173"/>
      <c r="I21" s="173"/>
      <c r="J21" s="171" t="s">
        <v>216</v>
      </c>
      <c r="K21" s="171" t="s">
        <v>224</v>
      </c>
      <c r="L21" s="171" t="s">
        <v>217</v>
      </c>
      <c r="M21" s="171" t="s">
        <v>224</v>
      </c>
      <c r="N21" s="171" t="s">
        <v>219</v>
      </c>
      <c r="O21" s="171" t="s">
        <v>219</v>
      </c>
      <c r="P21" s="171" t="s">
        <v>219</v>
      </c>
      <c r="Q21" s="171" t="s">
        <v>221</v>
      </c>
      <c r="R21" s="171" t="s">
        <v>230</v>
      </c>
      <c r="S21" s="171" t="s">
        <v>217</v>
      </c>
      <c r="T21" s="171" t="s">
        <v>221</v>
      </c>
      <c r="U21" s="171" t="s">
        <v>224</v>
      </c>
      <c r="V21" s="173"/>
      <c r="W21" s="173"/>
      <c r="X21" s="173"/>
      <c r="Y21" s="173"/>
      <c r="Z21" s="173"/>
      <c r="AA21" s="173"/>
      <c r="AB21" s="173"/>
      <c r="AC21" s="173"/>
      <c r="AD21" s="173"/>
      <c r="AE21" s="173"/>
      <c r="AF21" s="173"/>
      <c r="AG21" s="173"/>
      <c r="AH21" s="173"/>
      <c r="AI21" s="173"/>
      <c r="AJ21" s="173"/>
      <c r="AK21" s="173"/>
      <c r="AL21" s="173"/>
      <c r="AM21" s="173"/>
    </row>
    <row r="22">
      <c r="A22" s="174">
        <v>14.0</v>
      </c>
      <c r="B22" s="168" t="s">
        <v>247</v>
      </c>
      <c r="C22" s="169">
        <f t="shared" ref="C22:E22" si="15">G22+J22+M22+P22+S22+V22+Y22+AB22+AE22+AH22+AK22</f>
        <v>22</v>
      </c>
      <c r="D22" s="170">
        <f t="shared" si="15"/>
        <v>25</v>
      </c>
      <c r="E22" s="170">
        <f t="shared" si="15"/>
        <v>41</v>
      </c>
      <c r="F22" s="170">
        <f t="shared" si="3"/>
        <v>88</v>
      </c>
      <c r="G22" s="171" t="s">
        <v>216</v>
      </c>
      <c r="H22" s="173"/>
      <c r="I22" s="173"/>
      <c r="J22" s="171" t="s">
        <v>216</v>
      </c>
      <c r="K22" s="171" t="s">
        <v>224</v>
      </c>
      <c r="L22" s="173"/>
      <c r="M22" s="171" t="s">
        <v>217</v>
      </c>
      <c r="N22" s="171" t="s">
        <v>217</v>
      </c>
      <c r="O22" s="171" t="s">
        <v>218</v>
      </c>
      <c r="P22" s="171" t="s">
        <v>221</v>
      </c>
      <c r="Q22" s="171" t="s">
        <v>221</v>
      </c>
      <c r="R22" s="171" t="s">
        <v>244</v>
      </c>
      <c r="S22" s="171" t="s">
        <v>224</v>
      </c>
      <c r="T22" s="171" t="s">
        <v>219</v>
      </c>
      <c r="U22" s="171" t="s">
        <v>225</v>
      </c>
      <c r="V22" s="171" t="s">
        <v>224</v>
      </c>
      <c r="W22" s="171" t="s">
        <v>224</v>
      </c>
      <c r="X22" s="171" t="s">
        <v>218</v>
      </c>
      <c r="Y22" s="171" t="s">
        <v>217</v>
      </c>
      <c r="Z22" s="171" t="s">
        <v>218</v>
      </c>
      <c r="AA22" s="171" t="s">
        <v>221</v>
      </c>
      <c r="AB22" s="171" t="s">
        <v>218</v>
      </c>
      <c r="AC22" s="171" t="s">
        <v>224</v>
      </c>
      <c r="AD22" s="171" t="s">
        <v>224</v>
      </c>
      <c r="AE22" s="171" t="s">
        <v>217</v>
      </c>
      <c r="AF22" s="171" t="s">
        <v>218</v>
      </c>
      <c r="AG22" s="171" t="s">
        <v>224</v>
      </c>
      <c r="AH22" s="171" t="s">
        <v>224</v>
      </c>
      <c r="AI22" s="171" t="s">
        <v>218</v>
      </c>
      <c r="AJ22" s="171" t="s">
        <v>224</v>
      </c>
      <c r="AK22" s="173"/>
      <c r="AL22" s="173"/>
      <c r="AM22" s="173"/>
    </row>
    <row r="23">
      <c r="A23" s="167">
        <v>15.0</v>
      </c>
      <c r="B23" s="175" t="s">
        <v>248</v>
      </c>
      <c r="C23" s="169">
        <f t="shared" ref="C23:E23" si="16">G23+J23+M23+P23+S23+V23+Y23+AB23+AE23+AH23+AK23</f>
        <v>13</v>
      </c>
      <c r="D23" s="170">
        <f t="shared" si="16"/>
        <v>25</v>
      </c>
      <c r="E23" s="170">
        <f t="shared" si="16"/>
        <v>29</v>
      </c>
      <c r="F23" s="170">
        <f t="shared" si="3"/>
        <v>67</v>
      </c>
      <c r="G23" s="171" t="s">
        <v>216</v>
      </c>
      <c r="H23" s="173"/>
      <c r="I23" s="173"/>
      <c r="J23" s="171" t="s">
        <v>216</v>
      </c>
      <c r="K23" s="171" t="s">
        <v>224</v>
      </c>
      <c r="L23" s="173"/>
      <c r="M23" s="171" t="s">
        <v>217</v>
      </c>
      <c r="N23" s="171" t="s">
        <v>224</v>
      </c>
      <c r="O23" s="171" t="s">
        <v>224</v>
      </c>
      <c r="P23" s="171" t="s">
        <v>219</v>
      </c>
      <c r="Q23" s="171" t="s">
        <v>221</v>
      </c>
      <c r="R23" s="171" t="s">
        <v>220</v>
      </c>
      <c r="S23" s="171" t="s">
        <v>217</v>
      </c>
      <c r="T23" s="171" t="s">
        <v>219</v>
      </c>
      <c r="U23" s="171" t="s">
        <v>229</v>
      </c>
      <c r="V23" s="171" t="s">
        <v>224</v>
      </c>
      <c r="W23" s="171" t="s">
        <v>219</v>
      </c>
      <c r="X23" s="171" t="s">
        <v>219</v>
      </c>
      <c r="Y23" s="171" t="s">
        <v>218</v>
      </c>
      <c r="Z23" s="171" t="s">
        <v>224</v>
      </c>
      <c r="AA23" s="171" t="s">
        <v>224</v>
      </c>
      <c r="AB23" s="173"/>
      <c r="AC23" s="173"/>
      <c r="AD23" s="173"/>
      <c r="AE23" s="173"/>
      <c r="AF23" s="173"/>
      <c r="AG23" s="173"/>
      <c r="AH23" s="173"/>
      <c r="AI23" s="173"/>
      <c r="AJ23" s="173"/>
      <c r="AK23" s="173"/>
      <c r="AL23" s="173"/>
      <c r="AM23" s="173"/>
    </row>
    <row r="24">
      <c r="A24" s="174">
        <v>16.0</v>
      </c>
      <c r="B24" s="168" t="s">
        <v>249</v>
      </c>
      <c r="C24" s="169">
        <f t="shared" ref="C24:E24" si="17">G24+J24+M24+P24+S24+V24+Y24+AB24+AE24+AH24+AK24</f>
        <v>3</v>
      </c>
      <c r="D24" s="170">
        <f t="shared" si="17"/>
        <v>6</v>
      </c>
      <c r="E24" s="170">
        <f t="shared" si="17"/>
        <v>2</v>
      </c>
      <c r="F24" s="170">
        <f t="shared" si="3"/>
        <v>11</v>
      </c>
      <c r="G24" s="171" t="s">
        <v>216</v>
      </c>
      <c r="H24" s="173"/>
      <c r="I24" s="173"/>
      <c r="J24" s="171" t="s">
        <v>216</v>
      </c>
      <c r="K24" s="171" t="s">
        <v>218</v>
      </c>
      <c r="L24" s="173"/>
      <c r="M24" s="171" t="s">
        <v>218</v>
      </c>
      <c r="N24" s="171" t="s">
        <v>218</v>
      </c>
      <c r="O24" s="171" t="s">
        <v>217</v>
      </c>
      <c r="P24" s="171" t="s">
        <v>218</v>
      </c>
      <c r="Q24" s="171" t="s">
        <v>217</v>
      </c>
      <c r="R24" s="173"/>
      <c r="S24" s="171" t="s">
        <v>218</v>
      </c>
      <c r="T24" s="171" t="s">
        <v>217</v>
      </c>
      <c r="U24" s="173"/>
      <c r="V24" s="173"/>
      <c r="W24" s="173"/>
      <c r="X24" s="173"/>
      <c r="Y24" s="173"/>
      <c r="Z24" s="173"/>
      <c r="AA24" s="173"/>
      <c r="AB24" s="173"/>
      <c r="AC24" s="173"/>
      <c r="AD24" s="173"/>
      <c r="AE24" s="173"/>
      <c r="AF24" s="173"/>
      <c r="AG24" s="173"/>
      <c r="AH24" s="173"/>
      <c r="AI24" s="173"/>
      <c r="AJ24" s="173"/>
      <c r="AK24" s="173"/>
      <c r="AL24" s="173"/>
      <c r="AM24" s="173"/>
    </row>
    <row r="25">
      <c r="A25" s="167">
        <v>17.0</v>
      </c>
      <c r="B25" s="168" t="s">
        <v>250</v>
      </c>
      <c r="C25" s="169">
        <f t="shared" ref="C25:E25" si="18">G25+J25+M25+P25+S25+V25+Y25+AB25+AE25+AH25+AK25</f>
        <v>5</v>
      </c>
      <c r="D25" s="170">
        <f t="shared" si="18"/>
        <v>7</v>
      </c>
      <c r="E25" s="170">
        <f t="shared" si="18"/>
        <v>11</v>
      </c>
      <c r="F25" s="170">
        <f t="shared" si="3"/>
        <v>23</v>
      </c>
      <c r="G25" s="171" t="s">
        <v>216</v>
      </c>
      <c r="H25" s="173"/>
      <c r="I25" s="173"/>
      <c r="J25" s="171" t="s">
        <v>218</v>
      </c>
      <c r="K25" s="171" t="s">
        <v>218</v>
      </c>
      <c r="L25" s="173"/>
      <c r="M25" s="171" t="s">
        <v>218</v>
      </c>
      <c r="N25" s="171" t="s">
        <v>217</v>
      </c>
      <c r="O25" s="171" t="s">
        <v>219</v>
      </c>
      <c r="P25" s="171" t="s">
        <v>217</v>
      </c>
      <c r="Q25" s="171" t="s">
        <v>224</v>
      </c>
      <c r="R25" s="171" t="s">
        <v>230</v>
      </c>
      <c r="S25" s="171" t="s">
        <v>218</v>
      </c>
      <c r="T25" s="171" t="s">
        <v>218</v>
      </c>
      <c r="U25" s="171" t="s">
        <v>217</v>
      </c>
      <c r="V25" s="173"/>
      <c r="W25" s="173"/>
      <c r="X25" s="173"/>
      <c r="Y25" s="173"/>
      <c r="Z25" s="173"/>
      <c r="AA25" s="173"/>
      <c r="AB25" s="173"/>
      <c r="AC25" s="173"/>
      <c r="AD25" s="173"/>
      <c r="AE25" s="173"/>
      <c r="AF25" s="173"/>
      <c r="AG25" s="173"/>
      <c r="AH25" s="173"/>
      <c r="AI25" s="173"/>
      <c r="AJ25" s="173"/>
      <c r="AK25" s="173"/>
      <c r="AL25" s="173"/>
      <c r="AM25" s="173"/>
    </row>
    <row r="26">
      <c r="A26" s="174">
        <v>18.0</v>
      </c>
      <c r="B26" s="168" t="s">
        <v>251</v>
      </c>
      <c r="C26" s="169">
        <f t="shared" ref="C26:E26" si="19">G26+J26+M26+P26+S26+V26+Y26+AB26+AE26+AH26+AK26</f>
        <v>14</v>
      </c>
      <c r="D26" s="170">
        <f t="shared" si="19"/>
        <v>25</v>
      </c>
      <c r="E26" s="170">
        <f t="shared" si="19"/>
        <v>42</v>
      </c>
      <c r="F26" s="170">
        <f t="shared" si="3"/>
        <v>81</v>
      </c>
      <c r="G26" s="171" t="s">
        <v>216</v>
      </c>
      <c r="H26" s="173"/>
      <c r="I26" s="173"/>
      <c r="J26" s="171" t="s">
        <v>216</v>
      </c>
      <c r="K26" s="171" t="s">
        <v>224</v>
      </c>
      <c r="L26" s="173"/>
      <c r="M26" s="171" t="s">
        <v>217</v>
      </c>
      <c r="N26" s="171" t="s">
        <v>224</v>
      </c>
      <c r="O26" s="171" t="s">
        <v>217</v>
      </c>
      <c r="P26" s="171" t="s">
        <v>229</v>
      </c>
      <c r="Q26" s="171" t="s">
        <v>232</v>
      </c>
      <c r="R26" s="171" t="s">
        <v>234</v>
      </c>
      <c r="S26" s="171" t="s">
        <v>217</v>
      </c>
      <c r="T26" s="171" t="s">
        <v>225</v>
      </c>
      <c r="U26" s="171" t="s">
        <v>252</v>
      </c>
      <c r="V26" s="173"/>
      <c r="W26" s="173"/>
      <c r="X26" s="173"/>
      <c r="Y26" s="173"/>
      <c r="Z26" s="173"/>
      <c r="AA26" s="173"/>
      <c r="AB26" s="173"/>
      <c r="AC26" s="173"/>
      <c r="AD26" s="173"/>
      <c r="AE26" s="171" t="s">
        <v>224</v>
      </c>
      <c r="AF26" s="171" t="s">
        <v>218</v>
      </c>
      <c r="AG26" s="171" t="s">
        <v>224</v>
      </c>
      <c r="AH26" s="173"/>
      <c r="AI26" s="173"/>
      <c r="AJ26" s="173"/>
      <c r="AK26" s="173"/>
      <c r="AL26" s="173"/>
      <c r="AM26" s="173"/>
    </row>
    <row r="27">
      <c r="A27" s="167">
        <v>19.0</v>
      </c>
      <c r="B27" s="168" t="s">
        <v>253</v>
      </c>
      <c r="C27" s="169">
        <f t="shared" ref="C27:E27" si="20">G27+J27+M27+P27+S27+V27+Y27+AB27+AE27+AH27+AK27</f>
        <v>4</v>
      </c>
      <c r="D27" s="170">
        <f t="shared" si="20"/>
        <v>5</v>
      </c>
      <c r="E27" s="170">
        <f t="shared" si="20"/>
        <v>6</v>
      </c>
      <c r="F27" s="170">
        <f t="shared" si="3"/>
        <v>15</v>
      </c>
      <c r="G27" s="171" t="s">
        <v>216</v>
      </c>
      <c r="H27" s="173"/>
      <c r="I27" s="173"/>
      <c r="J27" s="171" t="s">
        <v>218</v>
      </c>
      <c r="K27" s="171" t="s">
        <v>218</v>
      </c>
      <c r="L27" s="173"/>
      <c r="M27" s="171" t="s">
        <v>218</v>
      </c>
      <c r="N27" s="171" t="s">
        <v>218</v>
      </c>
      <c r="O27" s="171" t="s">
        <v>217</v>
      </c>
      <c r="P27" s="171" t="s">
        <v>218</v>
      </c>
      <c r="Q27" s="171" t="s">
        <v>217</v>
      </c>
      <c r="R27" s="171" t="s">
        <v>217</v>
      </c>
      <c r="S27" s="171" t="s">
        <v>218</v>
      </c>
      <c r="T27" s="171" t="s">
        <v>218</v>
      </c>
      <c r="U27" s="171" t="s">
        <v>217</v>
      </c>
      <c r="V27" s="173"/>
      <c r="W27" s="173"/>
      <c r="X27" s="173"/>
      <c r="Y27" s="173"/>
      <c r="Z27" s="173"/>
      <c r="AA27" s="173"/>
      <c r="AB27" s="173"/>
      <c r="AC27" s="173"/>
      <c r="AD27" s="173"/>
      <c r="AE27" s="173"/>
      <c r="AF27" s="173"/>
      <c r="AG27" s="173"/>
      <c r="AH27" s="173"/>
      <c r="AI27" s="173"/>
      <c r="AJ27" s="173"/>
      <c r="AK27" s="173"/>
      <c r="AL27" s="173"/>
      <c r="AM27" s="173"/>
    </row>
    <row r="28">
      <c r="A28" s="174">
        <v>20.0</v>
      </c>
      <c r="B28" s="168" t="s">
        <v>254</v>
      </c>
      <c r="C28" s="169">
        <f t="shared" ref="C28:E28" si="21">G28+J28+M28+P28+S28+V28+Y28+AB28+AE28+AH28+AK28</f>
        <v>13</v>
      </c>
      <c r="D28" s="170">
        <f t="shared" si="21"/>
        <v>18</v>
      </c>
      <c r="E28" s="170">
        <f t="shared" si="21"/>
        <v>28</v>
      </c>
      <c r="F28" s="170">
        <f t="shared" si="3"/>
        <v>59</v>
      </c>
      <c r="G28" s="171" t="s">
        <v>216</v>
      </c>
      <c r="H28" s="173"/>
      <c r="I28" s="173"/>
      <c r="J28" s="171" t="s">
        <v>216</v>
      </c>
      <c r="K28" s="171" t="s">
        <v>217</v>
      </c>
      <c r="L28" s="173"/>
      <c r="M28" s="171" t="s">
        <v>217</v>
      </c>
      <c r="N28" s="171" t="s">
        <v>217</v>
      </c>
      <c r="O28" s="171" t="s">
        <v>219</v>
      </c>
      <c r="P28" s="171" t="s">
        <v>230</v>
      </c>
      <c r="Q28" s="171" t="s">
        <v>217</v>
      </c>
      <c r="R28" s="171" t="s">
        <v>221</v>
      </c>
      <c r="S28" s="171" t="s">
        <v>218</v>
      </c>
      <c r="T28" s="171" t="s">
        <v>229</v>
      </c>
      <c r="U28" s="171" t="s">
        <v>229</v>
      </c>
      <c r="V28" s="171" t="s">
        <v>221</v>
      </c>
      <c r="W28" s="171" t="s">
        <v>219</v>
      </c>
      <c r="X28" s="171" t="s">
        <v>225</v>
      </c>
      <c r="Y28" s="173"/>
      <c r="Z28" s="173"/>
      <c r="AA28" s="173"/>
      <c r="AB28" s="173"/>
      <c r="AC28" s="173"/>
      <c r="AD28" s="173"/>
      <c r="AE28" s="173"/>
      <c r="AF28" s="173"/>
      <c r="AG28" s="173"/>
      <c r="AH28" s="173"/>
      <c r="AI28" s="173"/>
      <c r="AJ28" s="173"/>
      <c r="AK28" s="173"/>
      <c r="AL28" s="173"/>
      <c r="AM28" s="173"/>
    </row>
    <row r="29">
      <c r="A29" s="167">
        <v>21.0</v>
      </c>
      <c r="B29" s="168" t="s">
        <v>255</v>
      </c>
      <c r="C29" s="169">
        <f t="shared" ref="C29:E29" si="22">G29+J29+M29+P29+S29+V29+Y29+AB29+AE29+AH29+AK29</f>
        <v>14</v>
      </c>
      <c r="D29" s="170">
        <f t="shared" si="22"/>
        <v>20</v>
      </c>
      <c r="E29" s="170">
        <f t="shared" si="22"/>
        <v>38</v>
      </c>
      <c r="F29" s="170">
        <f t="shared" si="3"/>
        <v>72</v>
      </c>
      <c r="G29" s="171" t="s">
        <v>216</v>
      </c>
      <c r="H29" s="173"/>
      <c r="I29" s="173"/>
      <c r="J29" s="171" t="s">
        <v>216</v>
      </c>
      <c r="K29" s="171" t="s">
        <v>224</v>
      </c>
      <c r="L29" s="173"/>
      <c r="M29" s="171" t="s">
        <v>217</v>
      </c>
      <c r="N29" s="171" t="s">
        <v>217</v>
      </c>
      <c r="O29" s="171" t="s">
        <v>234</v>
      </c>
      <c r="P29" s="173"/>
      <c r="Q29" s="171" t="s">
        <v>217</v>
      </c>
      <c r="R29" s="171" t="s">
        <v>221</v>
      </c>
      <c r="S29" s="171" t="s">
        <v>218</v>
      </c>
      <c r="T29" s="171" t="s">
        <v>224</v>
      </c>
      <c r="U29" s="171" t="s">
        <v>230</v>
      </c>
      <c r="V29" s="171" t="s">
        <v>229</v>
      </c>
      <c r="W29" s="171" t="s">
        <v>221</v>
      </c>
      <c r="X29" s="171" t="s">
        <v>232</v>
      </c>
      <c r="Y29" s="171" t="s">
        <v>217</v>
      </c>
      <c r="Z29" s="171" t="s">
        <v>217</v>
      </c>
      <c r="AA29" s="171" t="s">
        <v>217</v>
      </c>
      <c r="AB29" s="171" t="s">
        <v>217</v>
      </c>
      <c r="AC29" s="171" t="s">
        <v>217</v>
      </c>
      <c r="AD29" s="171" t="s">
        <v>217</v>
      </c>
      <c r="AE29" s="173"/>
      <c r="AF29" s="173"/>
      <c r="AG29" s="173"/>
      <c r="AH29" s="173"/>
      <c r="AI29" s="173"/>
      <c r="AJ29" s="173"/>
      <c r="AK29" s="173"/>
      <c r="AL29" s="173"/>
      <c r="AM29" s="173"/>
    </row>
    <row r="30">
      <c r="A30" s="174">
        <v>22.0</v>
      </c>
      <c r="B30" s="168" t="s">
        <v>256</v>
      </c>
      <c r="C30" s="169">
        <f t="shared" ref="C30:E30" si="23">G30+J30+M30+P30+S30+V30+Y30+AB30+AE30+AH30+AK30</f>
        <v>9</v>
      </c>
      <c r="D30" s="170">
        <f t="shared" si="23"/>
        <v>23</v>
      </c>
      <c r="E30" s="170">
        <f t="shared" si="23"/>
        <v>18</v>
      </c>
      <c r="F30" s="170">
        <f t="shared" si="3"/>
        <v>50</v>
      </c>
      <c r="G30" s="171" t="s">
        <v>216</v>
      </c>
      <c r="H30" s="173"/>
      <c r="I30" s="173"/>
      <c r="J30" s="171" t="s">
        <v>216</v>
      </c>
      <c r="K30" s="171" t="s">
        <v>224</v>
      </c>
      <c r="L30" s="173"/>
      <c r="M30" s="171" t="s">
        <v>217</v>
      </c>
      <c r="N30" s="171" t="s">
        <v>221</v>
      </c>
      <c r="O30" s="171" t="s">
        <v>230</v>
      </c>
      <c r="P30" s="171" t="s">
        <v>219</v>
      </c>
      <c r="Q30" s="171" t="s">
        <v>257</v>
      </c>
      <c r="R30" s="171" t="s">
        <v>221</v>
      </c>
      <c r="S30" s="171" t="s">
        <v>217</v>
      </c>
      <c r="T30" s="171" t="s">
        <v>218</v>
      </c>
      <c r="U30" s="171" t="s">
        <v>232</v>
      </c>
      <c r="V30" s="173"/>
      <c r="W30" s="173"/>
      <c r="X30" s="173"/>
      <c r="Y30" s="173"/>
      <c r="Z30" s="173"/>
      <c r="AA30" s="173"/>
      <c r="AB30" s="173"/>
      <c r="AC30" s="173"/>
      <c r="AD30" s="173"/>
      <c r="AE30" s="173"/>
      <c r="AF30" s="173"/>
      <c r="AG30" s="173"/>
      <c r="AH30" s="173"/>
      <c r="AI30" s="173"/>
      <c r="AJ30" s="173"/>
      <c r="AK30" s="173"/>
      <c r="AL30" s="173"/>
      <c r="AM30" s="173"/>
    </row>
    <row r="31">
      <c r="A31" s="167">
        <v>23.0</v>
      </c>
      <c r="B31" s="168" t="s">
        <v>258</v>
      </c>
      <c r="C31" s="169">
        <f t="shared" ref="C31:E31" si="24">G31+J31+M31+P31+S31+V31+Y31+AB31+AE31+AH31+AK31</f>
        <v>7</v>
      </c>
      <c r="D31" s="170">
        <f t="shared" si="24"/>
        <v>12</v>
      </c>
      <c r="E31" s="170">
        <f t="shared" si="24"/>
        <v>16</v>
      </c>
      <c r="F31" s="170">
        <f t="shared" si="3"/>
        <v>35</v>
      </c>
      <c r="G31" s="171" t="s">
        <v>216</v>
      </c>
      <c r="H31" s="173"/>
      <c r="I31" s="173"/>
      <c r="J31" s="171" t="s">
        <v>216</v>
      </c>
      <c r="K31" s="171" t="s">
        <v>217</v>
      </c>
      <c r="L31" s="173"/>
      <c r="M31" s="171" t="s">
        <v>218</v>
      </c>
      <c r="N31" s="171" t="s">
        <v>218</v>
      </c>
      <c r="O31" s="171" t="s">
        <v>230</v>
      </c>
      <c r="P31" s="171" t="s">
        <v>230</v>
      </c>
      <c r="Q31" s="171" t="s">
        <v>218</v>
      </c>
      <c r="R31" s="171" t="s">
        <v>217</v>
      </c>
      <c r="S31" s="171" t="s">
        <v>217</v>
      </c>
      <c r="T31" s="171" t="s">
        <v>232</v>
      </c>
      <c r="U31" s="171" t="s">
        <v>225</v>
      </c>
      <c r="V31" s="173"/>
      <c r="W31" s="173"/>
      <c r="X31" s="173"/>
      <c r="Y31" s="173"/>
      <c r="Z31" s="173"/>
      <c r="AA31" s="173"/>
      <c r="AB31" s="173"/>
      <c r="AC31" s="173"/>
      <c r="AD31" s="173"/>
      <c r="AE31" s="173"/>
      <c r="AF31" s="173"/>
      <c r="AG31" s="173"/>
      <c r="AH31" s="173"/>
      <c r="AI31" s="173"/>
      <c r="AJ31" s="173"/>
      <c r="AK31" s="173"/>
      <c r="AL31" s="173"/>
      <c r="AM31" s="173"/>
    </row>
    <row r="32">
      <c r="A32" s="174">
        <v>24.0</v>
      </c>
      <c r="B32" s="168" t="s">
        <v>259</v>
      </c>
      <c r="C32" s="169">
        <f t="shared" ref="C32:E32" si="25">G32+J32+M32+P32+S32+V32+Y32+AB32+AE32+AH32+AK32</f>
        <v>0</v>
      </c>
      <c r="D32" s="170">
        <f t="shared" si="25"/>
        <v>0</v>
      </c>
      <c r="E32" s="170">
        <f t="shared" si="25"/>
        <v>0</v>
      </c>
      <c r="F32" s="170">
        <f t="shared" si="3"/>
        <v>0</v>
      </c>
      <c r="G32" s="171" t="s">
        <v>216</v>
      </c>
      <c r="H32" s="173"/>
      <c r="I32" s="173"/>
      <c r="J32" s="171" t="s">
        <v>216</v>
      </c>
      <c r="K32" s="173"/>
      <c r="L32" s="173"/>
      <c r="M32" s="173"/>
      <c r="N32" s="173"/>
      <c r="O32" s="173"/>
      <c r="P32" s="173"/>
      <c r="Q32" s="173"/>
      <c r="R32" s="173"/>
      <c r="S32" s="173"/>
      <c r="T32" s="173"/>
      <c r="U32" s="173"/>
      <c r="V32" s="173"/>
      <c r="W32" s="173"/>
      <c r="X32" s="173"/>
      <c r="Y32" s="173"/>
      <c r="Z32" s="173"/>
      <c r="AA32" s="173"/>
      <c r="AB32" s="173"/>
      <c r="AC32" s="173"/>
      <c r="AD32" s="173"/>
      <c r="AE32" s="173"/>
      <c r="AF32" s="173"/>
      <c r="AG32" s="173"/>
      <c r="AH32" s="173"/>
      <c r="AI32" s="173"/>
      <c r="AJ32" s="173"/>
      <c r="AK32" s="173"/>
      <c r="AL32" s="173"/>
      <c r="AM32" s="173"/>
    </row>
    <row r="33">
      <c r="A33" s="167">
        <v>25.0</v>
      </c>
      <c r="B33" s="168" t="s">
        <v>260</v>
      </c>
      <c r="C33" s="169">
        <f t="shared" ref="C33:E33" si="26">G33+J33+M33+P33+S33+V33+Y33+AB33+AE33+AH33+AK33</f>
        <v>9</v>
      </c>
      <c r="D33" s="170">
        <f t="shared" si="26"/>
        <v>15</v>
      </c>
      <c r="E33" s="170">
        <f t="shared" si="26"/>
        <v>29</v>
      </c>
      <c r="F33" s="170">
        <f t="shared" si="3"/>
        <v>53</v>
      </c>
      <c r="G33" s="171" t="s">
        <v>216</v>
      </c>
      <c r="H33" s="173"/>
      <c r="I33" s="173"/>
      <c r="J33" s="171" t="s">
        <v>216</v>
      </c>
      <c r="K33" s="171" t="s">
        <v>217</v>
      </c>
      <c r="L33" s="173"/>
      <c r="M33" s="171" t="s">
        <v>224</v>
      </c>
      <c r="N33" s="171" t="s">
        <v>230</v>
      </c>
      <c r="O33" s="171" t="s">
        <v>224</v>
      </c>
      <c r="P33" s="171" t="s">
        <v>230</v>
      </c>
      <c r="Q33" s="171" t="s">
        <v>219</v>
      </c>
      <c r="R33" s="171" t="s">
        <v>261</v>
      </c>
      <c r="S33" s="171" t="s">
        <v>217</v>
      </c>
      <c r="T33" s="171" t="s">
        <v>230</v>
      </c>
      <c r="U33" s="171" t="s">
        <v>221</v>
      </c>
      <c r="V33" s="173"/>
      <c r="W33" s="173"/>
      <c r="X33" s="173"/>
      <c r="Y33" s="173"/>
      <c r="Z33" s="173"/>
      <c r="AA33" s="173"/>
      <c r="AB33" s="173"/>
      <c r="AC33" s="173"/>
      <c r="AD33" s="173"/>
      <c r="AE33" s="173"/>
      <c r="AF33" s="173"/>
      <c r="AG33" s="173"/>
      <c r="AH33" s="173"/>
      <c r="AI33" s="173"/>
      <c r="AJ33" s="173"/>
      <c r="AK33" s="173"/>
      <c r="AL33" s="173"/>
      <c r="AM33" s="173"/>
    </row>
    <row r="34">
      <c r="A34" s="174">
        <v>26.0</v>
      </c>
      <c r="B34" s="168" t="s">
        <v>262</v>
      </c>
      <c r="C34" s="169">
        <f t="shared" ref="C34:E34" si="27">G34+J34+M34+P34+S34+V34+Y34+AB34+AE34+AH34+AK34</f>
        <v>9</v>
      </c>
      <c r="D34" s="170">
        <f t="shared" si="27"/>
        <v>26</v>
      </c>
      <c r="E34" s="170">
        <f t="shared" si="27"/>
        <v>2</v>
      </c>
      <c r="F34" s="170">
        <f t="shared" si="3"/>
        <v>37</v>
      </c>
      <c r="G34" s="171" t="s">
        <v>216</v>
      </c>
      <c r="H34" s="173"/>
      <c r="I34" s="173"/>
      <c r="J34" s="171" t="s">
        <v>216</v>
      </c>
      <c r="K34" s="171" t="s">
        <v>217</v>
      </c>
      <c r="L34" s="173"/>
      <c r="M34" s="171" t="s">
        <v>217</v>
      </c>
      <c r="N34" s="171" t="s">
        <v>217</v>
      </c>
      <c r="O34" s="171" t="s">
        <v>217</v>
      </c>
      <c r="P34" s="171" t="s">
        <v>219</v>
      </c>
      <c r="Q34" s="171" t="s">
        <v>221</v>
      </c>
      <c r="R34" s="173"/>
      <c r="S34" s="171" t="s">
        <v>217</v>
      </c>
      <c r="T34" s="171" t="s">
        <v>234</v>
      </c>
      <c r="U34" s="173"/>
      <c r="V34" s="173"/>
      <c r="W34" s="173"/>
      <c r="X34" s="173"/>
      <c r="Y34" s="173"/>
      <c r="Z34" s="173"/>
      <c r="AA34" s="173"/>
      <c r="AB34" s="173"/>
      <c r="AC34" s="173"/>
      <c r="AD34" s="173"/>
      <c r="AE34" s="173"/>
      <c r="AF34" s="173"/>
      <c r="AG34" s="173"/>
      <c r="AH34" s="173"/>
      <c r="AI34" s="173"/>
      <c r="AJ34" s="173"/>
      <c r="AK34" s="173"/>
      <c r="AL34" s="173"/>
      <c r="AM34" s="173"/>
    </row>
    <row r="35">
      <c r="A35" s="176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>
      <c r="A36" s="176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>
      <c r="A37" s="176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>
      <c r="A38" s="176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>
      <c r="A39" s="176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>
      <c r="A40" s="176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>
      <c r="A41" s="176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>
      <c r="A42" s="176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>
      <c r="A43" s="176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>
      <c r="A44" s="176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>
      <c r="A48" s="1"/>
      <c r="B48" s="1"/>
      <c r="C48" s="1">
        <f t="shared" ref="C48:E48" si="28">SUM(C9:C34)</f>
        <v>210</v>
      </c>
      <c r="D48" s="1">
        <f t="shared" si="28"/>
        <v>437</v>
      </c>
      <c r="E48" s="1">
        <f t="shared" si="28"/>
        <v>570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</row>
  </sheetData>
  <mergeCells count="18">
    <mergeCell ref="G7:I7"/>
    <mergeCell ref="J7:L7"/>
    <mergeCell ref="M7:O7"/>
    <mergeCell ref="P7:R7"/>
    <mergeCell ref="S7:U7"/>
    <mergeCell ref="V7:X7"/>
    <mergeCell ref="Y7:AA7"/>
    <mergeCell ref="AB7:AD7"/>
    <mergeCell ref="AE7:AG7"/>
    <mergeCell ref="AH7:AJ7"/>
    <mergeCell ref="B1:I1"/>
    <mergeCell ref="A2:AM2"/>
    <mergeCell ref="A3:AM3"/>
    <mergeCell ref="A4:AM4"/>
    <mergeCell ref="A5:AM5"/>
    <mergeCell ref="A7:A8"/>
    <mergeCell ref="B7:B8"/>
    <mergeCell ref="AK7:AM7"/>
  </mergeCells>
  <drawing r:id="rId1"/>
</worksheet>
</file>